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31-12-2023" sheetId="1" state="visible" r:id="rId1"/>
    <sheet xmlns:r="http://schemas.openxmlformats.org/officeDocument/2006/relationships" name="Stock 31-12-2024" sheetId="2" state="visible" r:id="rId2"/>
    <sheet xmlns:r="http://schemas.openxmlformats.org/officeDocument/2006/relationships" name="Stock 31-12-2025" sheetId="3" state="visible" r:id="rId3"/>
    <sheet xmlns:r="http://schemas.openxmlformats.org/officeDocument/2006/relationships" name="SURVENTES - Incohérences" sheetId="4" state="visible" r:id="rId4"/>
    <sheet xmlns:r="http://schemas.openxmlformats.org/officeDocument/2006/relationships" name="STOCK DORMANT" sheetId="5" state="visible" r:id="rId5"/>
    <sheet xmlns:r="http://schemas.openxmlformats.org/officeDocument/2006/relationships" name="TABLEAU DE BORD" sheetId="6" state="visible" r:id="rId6"/>
  </sheets>
  <definedNames>
    <definedName name="_xlnm._FilterDatabase" localSheetId="0" hidden="1">'Stock 31-12-2023'!$A$1:$I$29</definedName>
    <definedName name="_xlnm._FilterDatabase" localSheetId="1" hidden="1">'Stock 31-12-2024'!$A$1:$I$29</definedName>
    <definedName name="_xlnm._FilterDatabase" localSheetId="2" hidden="1">'Stock 31-12-2025'!$A$1:$I$29</definedName>
    <definedName name="_xlnm._FilterDatabase" localSheetId="3" hidden="1">'SURVENTES - Incohérences'!$A$1:$L$16</definedName>
    <definedName name="_xlnm._FilterDatabase" localSheetId="4" hidden="1">'STOCK DORMANT'!$A$1:$H$9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9C5700"/>
    </font>
    <font>
      <color rgb="00006100"/>
    </font>
    <font>
      <b val="1"/>
      <color rgb="009C0006"/>
    </font>
    <font>
      <b val="1"/>
      <color rgb="00FFFFFF"/>
      <sz val="16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5" customWidth="1" min="4" max="4"/>
    <col width="8" customWidth="1" min="5" max="5"/>
    <col width="8" customWidth="1" min="6" max="6"/>
    <col width="13" customWidth="1" min="7" max="7"/>
    <col width="17" customWidth="1" min="8" max="8"/>
    <col width="50" customWidth="1" min="9" max="9"/>
  </cols>
  <sheetData>
    <row r="1">
      <c r="A1" s="1" t="inlineStr">
        <is>
          <t>SKU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Stock initial</t>
        </is>
      </c>
      <c r="E1" s="1" t="inlineStr">
        <is>
          <t>Achats</t>
        </is>
      </c>
      <c r="F1" s="1" t="inlineStr">
        <is>
          <t>Ventes</t>
        </is>
      </c>
      <c r="G1" s="1" t="inlineStr">
        <is>
          <t>Stock final</t>
        </is>
      </c>
      <c r="H1" s="1" t="inlineStr">
        <is>
          <t>Valorisation HT</t>
        </is>
      </c>
      <c r="I1" s="1" t="inlineStr">
        <is>
          <t>Statut</t>
        </is>
      </c>
    </row>
    <row r="2">
      <c r="A2" s="2" t="inlineStr">
        <is>
          <t>PRD-0081</t>
        </is>
      </c>
      <c r="B2" s="2" t="inlineStr">
        <is>
          <t>Plateau bois 20x30 cm</t>
        </is>
      </c>
      <c r="C2" s="2" t="inlineStr">
        <is>
          <t>Plateaux</t>
        </is>
      </c>
      <c r="D2" s="3" t="n">
        <v>0</v>
      </c>
      <c r="E2" s="4" t="n">
        <v>640</v>
      </c>
      <c r="F2" s="4" t="n">
        <v>460</v>
      </c>
      <c r="G2" s="4" t="n">
        <v>180</v>
      </c>
      <c r="H2" s="4" t="n">
        <v>1800</v>
      </c>
      <c r="I2" s="2">
        <f>IF(G2&lt;0,"🔴 SURVENTE",IF(G2&lt;10,"⚠️ FAIBLE","✅ OK"))</f>
        <v/>
      </c>
    </row>
    <row r="3">
      <c r="A3" s="2" t="inlineStr">
        <is>
          <t>PRD-0082</t>
        </is>
      </c>
      <c r="B3" s="2" t="inlineStr">
        <is>
          <t>Plateau bois 30x40 cm</t>
        </is>
      </c>
      <c r="C3" s="2" t="inlineStr">
        <is>
          <t>Plateaux</t>
        </is>
      </c>
      <c r="D3" s="3" t="n">
        <v>0</v>
      </c>
      <c r="E3" s="4" t="n">
        <v>500</v>
      </c>
      <c r="F3" s="4" t="n">
        <v>140</v>
      </c>
      <c r="G3" s="4" t="n">
        <v>360</v>
      </c>
      <c r="H3" s="4" t="n">
        <v>3600</v>
      </c>
      <c r="I3" s="2">
        <f>IF(G3&lt;0,"🔴 SURVENTE",IF(G3&lt;10,"⚠️ FAIBLE","✅ OK"))</f>
        <v/>
      </c>
    </row>
    <row r="4">
      <c r="A4" s="2" t="inlineStr">
        <is>
          <t>PRD-0050</t>
        </is>
      </c>
      <c r="B4" s="2" t="inlineStr">
        <is>
          <t>Coussin Rêveur</t>
        </is>
      </c>
      <c r="C4" s="2" t="inlineStr">
        <is>
          <t>Coussins spécialisés</t>
        </is>
      </c>
      <c r="D4" s="3" t="n">
        <v>0</v>
      </c>
      <c r="E4" s="4" t="n">
        <v>100</v>
      </c>
      <c r="F4" s="4" t="n">
        <v>17</v>
      </c>
      <c r="G4" s="4" t="n">
        <v>83</v>
      </c>
      <c r="H4" s="4" t="n">
        <v>2075</v>
      </c>
      <c r="I4" s="2">
        <f>IF(G4&lt;0,"🔴 SURVENTE",IF(G4&lt;10,"⚠️ FAIBLE","✅ OK"))</f>
        <v/>
      </c>
    </row>
    <row r="5">
      <c r="A5" s="2" t="inlineStr">
        <is>
          <t>PRD-0055</t>
        </is>
      </c>
      <c r="B5" s="2" t="inlineStr">
        <is>
          <t>Coussin Évasion Bleu</t>
        </is>
      </c>
      <c r="C5" s="2" t="inlineStr">
        <is>
          <t>Coussins spécialisés</t>
        </is>
      </c>
      <c r="D5" s="3" t="n">
        <v>0</v>
      </c>
      <c r="E5" s="4" t="n">
        <v>150</v>
      </c>
      <c r="F5" s="4" t="n">
        <v>25</v>
      </c>
      <c r="G5" s="4" t="n">
        <v>125</v>
      </c>
      <c r="H5" s="4" t="n">
        <v>3750</v>
      </c>
      <c r="I5" s="2">
        <f>IF(G5&lt;0,"🔴 SURVENTE",IF(G5&lt;10,"⚠️ FAIBLE","✅ OK"))</f>
        <v/>
      </c>
    </row>
    <row r="6">
      <c r="A6" s="2" t="inlineStr">
        <is>
          <t>PRD-0054</t>
        </is>
      </c>
      <c r="B6" s="2" t="inlineStr">
        <is>
          <t>Coussin Rose Sérénité</t>
        </is>
      </c>
      <c r="C6" s="2" t="inlineStr">
        <is>
          <t>Coussins spécialisés</t>
        </is>
      </c>
      <c r="D6" s="3" t="n">
        <v>0</v>
      </c>
      <c r="E6" s="4" t="n">
        <v>150</v>
      </c>
      <c r="F6" s="3" t="n">
        <v>4</v>
      </c>
      <c r="G6" s="4" t="n">
        <v>146</v>
      </c>
      <c r="H6" s="4" t="n">
        <v>4380</v>
      </c>
      <c r="I6" s="2">
        <f>IF(G6&lt;0,"🔴 SURVENTE",IF(G6&lt;10,"⚠️ FAIBLE","✅ OK"))</f>
        <v/>
      </c>
    </row>
    <row r="7">
      <c r="A7" s="2" t="inlineStr">
        <is>
          <t>PRD-0285</t>
        </is>
      </c>
      <c r="B7" s="2" t="inlineStr">
        <is>
          <t>Coussin Blanc</t>
        </is>
      </c>
      <c r="C7" s="2" t="inlineStr">
        <is>
          <t>Coussins génériques</t>
        </is>
      </c>
      <c r="D7" s="3" t="n">
        <v>0</v>
      </c>
      <c r="E7" s="3" t="n">
        <v>0</v>
      </c>
      <c r="F7" s="4" t="n">
        <v>38</v>
      </c>
      <c r="G7" s="5" t="n">
        <v>-38</v>
      </c>
      <c r="H7" s="5" t="n">
        <v>-3800</v>
      </c>
      <c r="I7" s="2">
        <f>IF(G7&lt;0,"🔴 SURVENTE",IF(G7&lt;10,"⚠️ FAIBLE","✅ OK"))</f>
        <v/>
      </c>
    </row>
    <row r="8">
      <c r="A8" s="2" t="inlineStr">
        <is>
          <t>PRD-0286</t>
        </is>
      </c>
      <c r="B8" s="2" t="inlineStr">
        <is>
          <t>Coussin Bleu</t>
        </is>
      </c>
      <c r="C8" s="2" t="inlineStr">
        <is>
          <t>Coussins génériques</t>
        </is>
      </c>
      <c r="D8" s="3" t="n">
        <v>0</v>
      </c>
      <c r="E8" s="4" t="n">
        <v>15</v>
      </c>
      <c r="F8" s="4" t="n">
        <v>30</v>
      </c>
      <c r="G8" s="5" t="n">
        <v>-15</v>
      </c>
      <c r="H8" s="5" t="n">
        <v>-1500</v>
      </c>
      <c r="I8" s="2">
        <f>IF(G8&lt;0,"🔴 SURVENTE",IF(G8&lt;10,"⚠️ FAIBLE","✅ OK"))</f>
        <v/>
      </c>
    </row>
    <row r="9">
      <c r="A9" s="2" t="inlineStr">
        <is>
          <t>PRD-0287</t>
        </is>
      </c>
      <c r="B9" s="2" t="inlineStr">
        <is>
          <t>Coussin beige</t>
        </is>
      </c>
      <c r="C9" s="2" t="inlineStr">
        <is>
          <t>Coussins génériques</t>
        </is>
      </c>
      <c r="D9" s="3" t="n">
        <v>0</v>
      </c>
      <c r="E9" s="4" t="n">
        <v>13</v>
      </c>
      <c r="F9" s="4" t="n">
        <v>31</v>
      </c>
      <c r="G9" s="5" t="n">
        <v>-18</v>
      </c>
      <c r="H9" s="5" t="n">
        <v>-1800</v>
      </c>
      <c r="I9" s="2">
        <f>IF(G9&lt;0,"🔴 SURVENTE",IF(G9&lt;10,"⚠️ FAIBLE","✅ OK"))</f>
        <v/>
      </c>
    </row>
    <row r="10">
      <c r="A10" s="2" t="inlineStr">
        <is>
          <t>SUS-0013</t>
        </is>
      </c>
      <c r="B10" s="2" t="inlineStr">
        <is>
          <t>Suspension raphia 3</t>
        </is>
      </c>
      <c r="C10" s="2" t="inlineStr">
        <is>
          <t>Suspensions raphia</t>
        </is>
      </c>
      <c r="D10" s="3" t="n">
        <v>0</v>
      </c>
      <c r="E10" s="4" t="n">
        <v>32</v>
      </c>
      <c r="F10" s="4" t="n">
        <v>42</v>
      </c>
      <c r="G10" s="5" t="n">
        <v>-10</v>
      </c>
      <c r="H10" s="5" t="n">
        <v>-900</v>
      </c>
      <c r="I10" s="2">
        <f>IF(G10&lt;0,"🔴 SURVENTE",IF(G10&lt;10,"⚠️ FAIBLE","✅ OK"))</f>
        <v/>
      </c>
    </row>
    <row r="11">
      <c r="A11" s="2" t="inlineStr">
        <is>
          <t>SUS-0012</t>
        </is>
      </c>
      <c r="B11" s="2" t="inlineStr">
        <is>
          <t>Suspension raphia 6</t>
        </is>
      </c>
      <c r="C11" s="2" t="inlineStr">
        <is>
          <t>Suspensions raphia</t>
        </is>
      </c>
      <c r="D11" s="3" t="n">
        <v>0</v>
      </c>
      <c r="E11" s="3" t="n">
        <v>6</v>
      </c>
      <c r="F11" s="4" t="n">
        <v>30</v>
      </c>
      <c r="G11" s="5" t="n">
        <v>-24</v>
      </c>
      <c r="H11" s="5" t="n">
        <v>-2160</v>
      </c>
      <c r="I11" s="2">
        <f>IF(G11&lt;0,"🔴 SURVENTE",IF(G11&lt;10,"⚠️ FAIBLE","✅ OK"))</f>
        <v/>
      </c>
    </row>
    <row r="12">
      <c r="A12" s="2" t="inlineStr">
        <is>
          <t>SUS-0011</t>
        </is>
      </c>
      <c r="B12" s="2" t="inlineStr">
        <is>
          <t>Suspension raphia 5</t>
        </is>
      </c>
      <c r="C12" s="2" t="inlineStr">
        <is>
          <t>Suspensions raphia</t>
        </is>
      </c>
      <c r="D12" s="3" t="n">
        <v>0</v>
      </c>
      <c r="E12" s="4" t="n">
        <v>24</v>
      </c>
      <c r="F12" s="3" t="n">
        <v>5</v>
      </c>
      <c r="G12" s="4" t="n">
        <v>19</v>
      </c>
      <c r="H12" s="4" t="n">
        <v>1710</v>
      </c>
      <c r="I12" s="2">
        <f>IF(G12&lt;0,"🔴 SURVENTE",IF(G12&lt;10,"⚠️ FAIBLE","✅ OK"))</f>
        <v/>
      </c>
    </row>
    <row r="13">
      <c r="A13" s="2" t="inlineStr">
        <is>
          <t>SUS-0016</t>
        </is>
      </c>
      <c r="B13" s="2" t="inlineStr">
        <is>
          <t>Suspensions franges n°1</t>
        </is>
      </c>
      <c r="C13" s="2" t="inlineStr">
        <is>
          <t>Suspensions franges</t>
        </is>
      </c>
      <c r="D13" s="3" t="n">
        <v>0</v>
      </c>
      <c r="E13" s="4" t="n">
        <v>11</v>
      </c>
      <c r="F13" s="4" t="n">
        <v>38</v>
      </c>
      <c r="G13" s="5" t="n">
        <v>-27</v>
      </c>
      <c r="H13" s="5" t="n">
        <v>-1890</v>
      </c>
      <c r="I13" s="2">
        <f>IF(G13&lt;0,"🔴 SURVENTE",IF(G13&lt;10,"⚠️ FAIBLE","✅ OK"))</f>
        <v/>
      </c>
    </row>
    <row r="14">
      <c r="A14" s="2" t="inlineStr">
        <is>
          <t>SUS-0015</t>
        </is>
      </c>
      <c r="B14" s="2" t="inlineStr">
        <is>
          <t>Suspension frange n°3</t>
        </is>
      </c>
      <c r="C14" s="2" t="inlineStr">
        <is>
          <t>Suspensions franges</t>
        </is>
      </c>
      <c r="D14" s="3" t="n">
        <v>0</v>
      </c>
      <c r="E14" s="3" t="n">
        <v>6</v>
      </c>
      <c r="F14" s="4" t="n">
        <v>11</v>
      </c>
      <c r="G14" s="5" t="n">
        <v>-5</v>
      </c>
      <c r="H14" s="5" t="n">
        <v>-350</v>
      </c>
      <c r="I14" s="2">
        <f>IF(G14&lt;0,"🔴 SURVENTE",IF(G14&lt;10,"⚠️ FAIBLE","✅ OK"))</f>
        <v/>
      </c>
    </row>
    <row r="15">
      <c r="A15" s="2" t="inlineStr">
        <is>
          <t>SUS-0014</t>
        </is>
      </c>
      <c r="B15" s="2" t="inlineStr">
        <is>
          <t>Suspension frange n°5</t>
        </is>
      </c>
      <c r="C15" s="2" t="inlineStr">
        <is>
          <t>Suspensions franges</t>
        </is>
      </c>
      <c r="D15" s="3" t="n">
        <v>0</v>
      </c>
      <c r="E15" s="3" t="n">
        <v>7</v>
      </c>
      <c r="F15" s="3" t="n">
        <v>0</v>
      </c>
      <c r="G15" s="3" t="n">
        <v>7</v>
      </c>
      <c r="H15" s="4" t="n">
        <v>490</v>
      </c>
      <c r="I15" s="2">
        <f>IF(G15&lt;0,"🔴 SURVENTE",IF(G15&lt;10,"⚠️ FAIBLE","✅ OK"))</f>
        <v/>
      </c>
    </row>
    <row r="16">
      <c r="A16" s="2" t="inlineStr">
        <is>
          <t>SUS-0005</t>
        </is>
      </c>
      <c r="B16" s="2" t="inlineStr">
        <is>
          <t>Suspensions frange n°2</t>
        </is>
      </c>
      <c r="C16" s="2" t="inlineStr">
        <is>
          <t>Suspensions franges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2">
        <f>IF(G16&lt;0,"🔴 SURVENTE",IF(G16&lt;10,"⚠️ FAIBLE","✅ OK"))</f>
        <v/>
      </c>
    </row>
    <row r="17">
      <c r="A17" s="2" t="inlineStr">
        <is>
          <t>SUS-0004</t>
        </is>
      </c>
      <c r="B17" s="2" t="inlineStr">
        <is>
          <t>Suspension frange n°4</t>
        </is>
      </c>
      <c r="C17" s="2" t="inlineStr">
        <is>
          <t>Suspensions franges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2">
        <f>IF(G17&lt;0,"🔴 SURVENTE",IF(G17&lt;10,"⚠️ FAIBLE","✅ OK"))</f>
        <v/>
      </c>
    </row>
    <row r="18">
      <c r="A18" s="2" t="inlineStr">
        <is>
          <t>SUS-0006</t>
        </is>
      </c>
      <c r="B18" s="2" t="inlineStr">
        <is>
          <t>Suspension paille</t>
        </is>
      </c>
      <c r="C18" s="2" t="inlineStr">
        <is>
          <t>Suspensions paille</t>
        </is>
      </c>
      <c r="D18" s="3" t="n">
        <v>0</v>
      </c>
      <c r="E18" s="4" t="n">
        <v>16</v>
      </c>
      <c r="F18" s="4" t="n">
        <v>11</v>
      </c>
      <c r="G18" s="3" t="n">
        <v>5</v>
      </c>
      <c r="H18" s="4" t="n">
        <v>400</v>
      </c>
      <c r="I18" s="2">
        <f>IF(G18&lt;0,"🔴 SURVENTE",IF(G18&lt;10,"⚠️ FAIBLE","✅ OK"))</f>
        <v/>
      </c>
    </row>
    <row r="19">
      <c r="A19" s="2" t="inlineStr">
        <is>
          <t>PRD-0130</t>
        </is>
      </c>
      <c r="B19" s="2" t="inlineStr">
        <is>
          <t>Séparateur Terrasse</t>
        </is>
      </c>
      <c r="C19" s="2" t="inlineStr">
        <is>
          <t>Séparateurs</t>
        </is>
      </c>
      <c r="D19" s="3" t="n">
        <v>0</v>
      </c>
      <c r="E19" s="3" t="n">
        <v>0</v>
      </c>
      <c r="F19" s="3" t="n">
        <v>1</v>
      </c>
      <c r="G19" s="5" t="n">
        <v>-1</v>
      </c>
      <c r="H19" s="5" t="n">
        <v>-1750</v>
      </c>
      <c r="I19" s="2">
        <f>IF(G19&lt;0,"🔴 SURVENTE",IF(G19&lt;10,"⚠️ FAIBLE","✅ OK"))</f>
        <v/>
      </c>
    </row>
    <row r="20">
      <c r="A20" s="2" t="inlineStr">
        <is>
          <t>DMU-0006</t>
        </is>
      </c>
      <c r="B20" s="2" t="inlineStr">
        <is>
          <t>Miroir XL</t>
        </is>
      </c>
      <c r="C20" s="2" t="inlineStr">
        <is>
          <t>Miroirs</t>
        </is>
      </c>
      <c r="D20" s="3" t="n">
        <v>0</v>
      </c>
      <c r="E20" s="3" t="n">
        <v>3</v>
      </c>
      <c r="F20" s="3" t="n">
        <v>3</v>
      </c>
      <c r="G20" s="3" t="n">
        <v>0</v>
      </c>
      <c r="H20" s="3" t="n">
        <v>0</v>
      </c>
      <c r="I20" s="2">
        <f>IF(G20&lt;0,"🔴 SURVENTE",IF(G20&lt;10,"⚠️ FAIBLE","✅ OK"))</f>
        <v/>
      </c>
    </row>
    <row r="21">
      <c r="A21" s="2" t="inlineStr">
        <is>
          <t>DMU-0010</t>
        </is>
      </c>
      <c r="B21" s="2" t="inlineStr">
        <is>
          <t>Lots 4 miroirs irrégulier laiton</t>
        </is>
      </c>
      <c r="C21" s="2" t="inlineStr">
        <is>
          <t>Miroirs</t>
        </is>
      </c>
      <c r="D21" s="3" t="n">
        <v>0</v>
      </c>
      <c r="E21" s="3" t="n">
        <v>3</v>
      </c>
      <c r="F21" s="3" t="n">
        <v>6</v>
      </c>
      <c r="G21" s="5" t="n">
        <v>-3</v>
      </c>
      <c r="H21" s="5" t="n">
        <v>-750</v>
      </c>
      <c r="I21" s="2">
        <f>IF(G21&lt;0,"🔴 SURVENTE",IF(G21&lt;10,"⚠️ FAIBLE","✅ OK"))</f>
        <v/>
      </c>
    </row>
    <row r="22">
      <c r="A22" s="2" t="inlineStr">
        <is>
          <t>DMU-0007</t>
        </is>
      </c>
      <c r="B22" s="2" t="inlineStr">
        <is>
          <t>Rond paille S</t>
        </is>
      </c>
      <c r="C22" s="2" t="inlineStr">
        <is>
          <t>Ronds paille</t>
        </is>
      </c>
      <c r="D22" s="3" t="n">
        <v>0</v>
      </c>
      <c r="E22" s="3" t="n">
        <v>3</v>
      </c>
      <c r="F22" s="3" t="n">
        <v>3</v>
      </c>
      <c r="G22" s="3" t="n">
        <v>0</v>
      </c>
      <c r="H22" s="3" t="n">
        <v>0</v>
      </c>
      <c r="I22" s="2">
        <f>IF(G22&lt;0,"🔴 SURVENTE",IF(G22&lt;10,"⚠️ FAIBLE","✅ OK"))</f>
        <v/>
      </c>
    </row>
    <row r="23">
      <c r="A23" s="2" t="inlineStr">
        <is>
          <t>DMU-0009</t>
        </is>
      </c>
      <c r="B23" s="2" t="inlineStr">
        <is>
          <t>Rond paille M</t>
        </is>
      </c>
      <c r="C23" s="2" t="inlineStr">
        <is>
          <t>Ronds paille</t>
        </is>
      </c>
      <c r="D23" s="3" t="n">
        <v>0</v>
      </c>
      <c r="E23" s="3" t="n">
        <v>3</v>
      </c>
      <c r="F23" s="3" t="n">
        <v>0</v>
      </c>
      <c r="G23" s="3" t="n">
        <v>3</v>
      </c>
      <c r="H23" s="4" t="n">
        <v>270</v>
      </c>
      <c r="I23" s="2">
        <f>IF(G23&lt;0,"🔴 SURVENTE",IF(G23&lt;10,"⚠️ FAIBLE","✅ OK"))</f>
        <v/>
      </c>
    </row>
    <row r="24">
      <c r="A24" s="2" t="inlineStr">
        <is>
          <t>DMU-0008</t>
        </is>
      </c>
      <c r="B24" s="2" t="inlineStr">
        <is>
          <t>Rond paille L</t>
        </is>
      </c>
      <c r="C24" s="2" t="inlineStr">
        <is>
          <t>Ronds paille</t>
        </is>
      </c>
      <c r="D24" s="3" t="n">
        <v>0</v>
      </c>
      <c r="E24" s="3" t="n">
        <v>1</v>
      </c>
      <c r="F24" s="3" t="n">
        <v>2</v>
      </c>
      <c r="G24" s="5" t="n">
        <v>-1</v>
      </c>
      <c r="H24" s="5" t="n">
        <v>-100</v>
      </c>
      <c r="I24" s="2">
        <f>IF(G24&lt;0,"🔴 SURVENTE",IF(G24&lt;10,"⚠️ FAIBLE","✅ OK"))</f>
        <v/>
      </c>
    </row>
    <row r="25">
      <c r="A25" s="2" t="inlineStr">
        <is>
          <t>PRD-0124</t>
        </is>
      </c>
      <c r="B25" s="2" t="inlineStr">
        <is>
          <t>Banc artisanal bois - 100 cm</t>
        </is>
      </c>
      <c r="C25" s="2" t="inlineStr">
        <is>
          <t>Mobilier</t>
        </is>
      </c>
      <c r="D25" s="3" t="n">
        <v>0</v>
      </c>
      <c r="E25" s="3" t="n">
        <v>0</v>
      </c>
      <c r="F25" s="3" t="n">
        <v>6</v>
      </c>
      <c r="G25" s="5" t="n">
        <v>-6</v>
      </c>
      <c r="H25" s="5" t="n">
        <v>-840</v>
      </c>
      <c r="I25" s="2">
        <f>IF(G25&lt;0,"🔴 SURVENTE",IF(G25&lt;10,"⚠️ FAIBLE","✅ OK"))</f>
        <v/>
      </c>
    </row>
    <row r="26">
      <c r="A26" s="2" t="inlineStr">
        <is>
          <t>PRD-0123</t>
        </is>
      </c>
      <c r="B26" s="2" t="inlineStr">
        <is>
          <t>Banc artisanal bois - 120 cm</t>
        </is>
      </c>
      <c r="C26" s="2" t="inlineStr">
        <is>
          <t>Mobilier</t>
        </is>
      </c>
      <c r="D26" s="3" t="n">
        <v>0</v>
      </c>
      <c r="E26" s="3" t="n">
        <v>0</v>
      </c>
      <c r="F26" s="3" t="n">
        <v>1</v>
      </c>
      <c r="G26" s="5" t="n">
        <v>-1</v>
      </c>
      <c r="H26" s="5" t="n">
        <v>-140</v>
      </c>
      <c r="I26" s="2">
        <f>IF(G26&lt;0,"🔴 SURVENTE",IF(G26&lt;10,"⚠️ FAIBLE","✅ OK"))</f>
        <v/>
      </c>
    </row>
    <row r="27">
      <c r="A27" s="2" t="inlineStr">
        <is>
          <t>PRD-0105</t>
        </is>
      </c>
      <c r="B27" s="2" t="inlineStr">
        <is>
          <t>Ciel de bar</t>
        </is>
      </c>
      <c r="C27" s="2" t="inlineStr">
        <is>
          <t>Autres</t>
        </is>
      </c>
      <c r="D27" s="3" t="n">
        <v>0</v>
      </c>
      <c r="E27" s="3" t="n">
        <v>0</v>
      </c>
      <c r="F27" s="3" t="n">
        <v>1</v>
      </c>
      <c r="G27" s="5" t="n">
        <v>-1</v>
      </c>
      <c r="H27" s="5" t="n">
        <v>-310</v>
      </c>
      <c r="I27" s="2">
        <f>IF(G27&lt;0,"🔴 SURVENTE",IF(G27&lt;10,"⚠️ FAIBLE","✅ OK"))</f>
        <v/>
      </c>
    </row>
    <row r="28">
      <c r="A28" s="2" t="inlineStr">
        <is>
          <t>PRD-0132</t>
        </is>
      </c>
      <c r="B28" s="2" t="inlineStr">
        <is>
          <t>Poubelle à POKAWA</t>
        </is>
      </c>
      <c r="C28" s="2" t="inlineStr">
        <is>
          <t>Autres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2">
        <f>IF(G28&lt;0,"🔴 SURVENTE",IF(G28&lt;10,"⚠️ FAIBLE","✅ OK"))</f>
        <v/>
      </c>
    </row>
    <row r="29">
      <c r="A29" s="2" t="inlineStr">
        <is>
          <t>PRD-0309</t>
        </is>
      </c>
      <c r="B29" s="2" t="inlineStr">
        <is>
          <t>Meuble TABESTO à POKAWA</t>
        </is>
      </c>
      <c r="C29" s="2" t="inlineStr">
        <is>
          <t>Autres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2">
        <f>IF(G29&lt;0,"🔴 SURVENTE",IF(G29&lt;10,"⚠️ FAIBLE","✅ OK"))</f>
        <v/>
      </c>
    </row>
  </sheetData>
  <autoFilter ref="A1:I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5" customWidth="1" min="4" max="4"/>
    <col width="8" customWidth="1" min="5" max="5"/>
    <col width="8" customWidth="1" min="6" max="6"/>
    <col width="13" customWidth="1" min="7" max="7"/>
    <col width="17" customWidth="1" min="8" max="8"/>
    <col width="50" customWidth="1" min="9" max="9"/>
  </cols>
  <sheetData>
    <row r="1">
      <c r="A1" s="1" t="inlineStr">
        <is>
          <t>SKU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Stock initial</t>
        </is>
      </c>
      <c r="E1" s="1" t="inlineStr">
        <is>
          <t>Achats</t>
        </is>
      </c>
      <c r="F1" s="1" t="inlineStr">
        <is>
          <t>Ventes</t>
        </is>
      </c>
      <c r="G1" s="1" t="inlineStr">
        <is>
          <t>Stock final</t>
        </is>
      </c>
      <c r="H1" s="1" t="inlineStr">
        <is>
          <t>Valorisation HT</t>
        </is>
      </c>
      <c r="I1" s="1" t="inlineStr">
        <is>
          <t>Statut</t>
        </is>
      </c>
    </row>
    <row r="2">
      <c r="A2" s="2" t="inlineStr">
        <is>
          <t>PRD-0081</t>
        </is>
      </c>
      <c r="B2" s="2" t="inlineStr">
        <is>
          <t>Plateau bois 20x30 cm</t>
        </is>
      </c>
      <c r="C2" s="2" t="inlineStr">
        <is>
          <t>Plateaux</t>
        </is>
      </c>
      <c r="D2" s="4" t="n">
        <v>180</v>
      </c>
      <c r="E2" s="4" t="n">
        <v>640</v>
      </c>
      <c r="F2" s="4" t="n">
        <v>880</v>
      </c>
      <c r="G2" s="5" t="n">
        <v>-60</v>
      </c>
      <c r="H2" s="5" t="n">
        <v>-600</v>
      </c>
      <c r="I2" s="2">
        <f>IF(G2&lt;0,"🔴 SURVENTE",IF(G2&lt;10,"⚠️ FAIBLE","✅ OK"))</f>
        <v/>
      </c>
    </row>
    <row r="3">
      <c r="A3" s="2" t="inlineStr">
        <is>
          <t>PRD-0082</t>
        </is>
      </c>
      <c r="B3" s="2" t="inlineStr">
        <is>
          <t>Plateau bois 30x40 cm</t>
        </is>
      </c>
      <c r="C3" s="2" t="inlineStr">
        <is>
          <t>Plateaux</t>
        </is>
      </c>
      <c r="D3" s="4" t="n">
        <v>360</v>
      </c>
      <c r="E3" s="4" t="n">
        <v>500</v>
      </c>
      <c r="F3" s="4" t="n">
        <v>611</v>
      </c>
      <c r="G3" s="4" t="n">
        <v>249</v>
      </c>
      <c r="H3" s="4" t="n">
        <v>2490</v>
      </c>
      <c r="I3" s="2">
        <f>IF(G3&lt;0,"🔴 SURVENTE",IF(G3&lt;10,"⚠️ FAIBLE","✅ OK"))</f>
        <v/>
      </c>
    </row>
    <row r="4">
      <c r="A4" s="2" t="inlineStr">
        <is>
          <t>PRD-0050</t>
        </is>
      </c>
      <c r="B4" s="2" t="inlineStr">
        <is>
          <t>Coussin Rêveur</t>
        </is>
      </c>
      <c r="C4" s="2" t="inlineStr">
        <is>
          <t>Coussins spécialisés</t>
        </is>
      </c>
      <c r="D4" s="4" t="n">
        <v>83</v>
      </c>
      <c r="E4" s="4" t="n">
        <v>200</v>
      </c>
      <c r="F4" s="4" t="n">
        <v>116</v>
      </c>
      <c r="G4" s="4" t="n">
        <v>167</v>
      </c>
      <c r="H4" s="4" t="n">
        <v>4175</v>
      </c>
      <c r="I4" s="2">
        <f>IF(G4&lt;0,"🔴 SURVENTE",IF(G4&lt;10,"⚠️ FAIBLE","✅ OK"))</f>
        <v/>
      </c>
    </row>
    <row r="5">
      <c r="A5" s="2" t="inlineStr">
        <is>
          <t>PRD-0055</t>
        </is>
      </c>
      <c r="B5" s="2" t="inlineStr">
        <is>
          <t>Coussin Évasion Bleu</t>
        </is>
      </c>
      <c r="C5" s="2" t="inlineStr">
        <is>
          <t>Coussins spécialisés</t>
        </is>
      </c>
      <c r="D5" s="4" t="n">
        <v>125</v>
      </c>
      <c r="E5" s="3" t="n">
        <v>0</v>
      </c>
      <c r="F5" s="4" t="n">
        <v>39</v>
      </c>
      <c r="G5" s="4" t="n">
        <v>86</v>
      </c>
      <c r="H5" s="4" t="n">
        <v>2580</v>
      </c>
      <c r="I5" s="2">
        <f>IF(G5&lt;0,"🔴 SURVENTE",IF(G5&lt;10,"⚠️ FAIBLE","✅ OK"))</f>
        <v/>
      </c>
    </row>
    <row r="6">
      <c r="A6" s="2" t="inlineStr">
        <is>
          <t>PRD-0054</t>
        </is>
      </c>
      <c r="B6" s="2" t="inlineStr">
        <is>
          <t>Coussin Rose Sérénité</t>
        </is>
      </c>
      <c r="C6" s="2" t="inlineStr">
        <is>
          <t>Coussins spécialisés</t>
        </is>
      </c>
      <c r="D6" s="4" t="n">
        <v>146</v>
      </c>
      <c r="E6" s="3" t="n">
        <v>0</v>
      </c>
      <c r="F6" s="4" t="n">
        <v>33</v>
      </c>
      <c r="G6" s="4" t="n">
        <v>113</v>
      </c>
      <c r="H6" s="4" t="n">
        <v>3390</v>
      </c>
      <c r="I6" s="2">
        <f>IF(G6&lt;0,"🔴 SURVENTE",IF(G6&lt;10,"⚠️ FAIBLE","✅ OK"))</f>
        <v/>
      </c>
    </row>
    <row r="7">
      <c r="A7" s="2" t="inlineStr">
        <is>
          <t>PRD-0285</t>
        </is>
      </c>
      <c r="B7" s="2" t="inlineStr">
        <is>
          <t>Coussin Blanc</t>
        </is>
      </c>
      <c r="C7" s="2" t="inlineStr">
        <is>
          <t>Coussins génériques</t>
        </is>
      </c>
      <c r="D7" s="5" t="n">
        <v>-38</v>
      </c>
      <c r="E7" s="4" t="n">
        <v>10</v>
      </c>
      <c r="F7" s="4" t="n">
        <v>20</v>
      </c>
      <c r="G7" s="5" t="n">
        <v>-48</v>
      </c>
      <c r="H7" s="5" t="n">
        <v>-4800</v>
      </c>
      <c r="I7" s="2">
        <f>IF(G7&lt;0,"🔴 SURVENTE",IF(G7&lt;10,"⚠️ FAIBLE","✅ OK"))</f>
        <v/>
      </c>
    </row>
    <row r="8">
      <c r="A8" s="2" t="inlineStr">
        <is>
          <t>PRD-0286</t>
        </is>
      </c>
      <c r="B8" s="2" t="inlineStr">
        <is>
          <t>Coussin Bleu</t>
        </is>
      </c>
      <c r="C8" s="2" t="inlineStr">
        <is>
          <t>Coussins génériques</t>
        </is>
      </c>
      <c r="D8" s="5" t="n">
        <v>-15</v>
      </c>
      <c r="E8" s="3" t="n">
        <v>7</v>
      </c>
      <c r="F8" s="4" t="n">
        <v>14</v>
      </c>
      <c r="G8" s="5" t="n">
        <v>-22</v>
      </c>
      <c r="H8" s="5" t="n">
        <v>-2200</v>
      </c>
      <c r="I8" s="2">
        <f>IF(G8&lt;0,"🔴 SURVENTE",IF(G8&lt;10,"⚠️ FAIBLE","✅ OK"))</f>
        <v/>
      </c>
    </row>
    <row r="9">
      <c r="A9" s="2" t="inlineStr">
        <is>
          <t>PRD-0287</t>
        </is>
      </c>
      <c r="B9" s="2" t="inlineStr">
        <is>
          <t>Coussin beige</t>
        </is>
      </c>
      <c r="C9" s="2" t="inlineStr">
        <is>
          <t>Coussins génériques</t>
        </is>
      </c>
      <c r="D9" s="5" t="n">
        <v>-18</v>
      </c>
      <c r="E9" s="3" t="n">
        <v>4</v>
      </c>
      <c r="F9" s="4" t="n">
        <v>17</v>
      </c>
      <c r="G9" s="5" t="n">
        <v>-31</v>
      </c>
      <c r="H9" s="5" t="n">
        <v>-3100</v>
      </c>
      <c r="I9" s="2">
        <f>IF(G9&lt;0,"🔴 SURVENTE",IF(G9&lt;10,"⚠️ FAIBLE","✅ OK"))</f>
        <v/>
      </c>
    </row>
    <row r="10">
      <c r="A10" s="2" t="inlineStr">
        <is>
          <t>SUS-0013</t>
        </is>
      </c>
      <c r="B10" s="2" t="inlineStr">
        <is>
          <t>Suspension raphia 3</t>
        </is>
      </c>
      <c r="C10" s="2" t="inlineStr">
        <is>
          <t>Suspensions raphia</t>
        </is>
      </c>
      <c r="D10" s="5" t="n">
        <v>-10</v>
      </c>
      <c r="E10" s="4" t="n">
        <v>80</v>
      </c>
      <c r="F10" s="4" t="n">
        <v>132</v>
      </c>
      <c r="G10" s="5" t="n">
        <v>-62</v>
      </c>
      <c r="H10" s="5" t="n">
        <v>-5580</v>
      </c>
      <c r="I10" s="2">
        <f>IF(G10&lt;0,"🔴 SURVENTE",IF(G10&lt;10,"⚠️ FAIBLE","✅ OK"))</f>
        <v/>
      </c>
    </row>
    <row r="11">
      <c r="A11" s="2" t="inlineStr">
        <is>
          <t>SUS-0012</t>
        </is>
      </c>
      <c r="B11" s="2" t="inlineStr">
        <is>
          <t>Suspension raphia 6</t>
        </is>
      </c>
      <c r="C11" s="2" t="inlineStr">
        <is>
          <t>Suspensions raphia</t>
        </is>
      </c>
      <c r="D11" s="5" t="n">
        <v>-24</v>
      </c>
      <c r="E11" s="4" t="n">
        <v>66</v>
      </c>
      <c r="F11" s="4" t="n">
        <v>86</v>
      </c>
      <c r="G11" s="5" t="n">
        <v>-44</v>
      </c>
      <c r="H11" s="5" t="n">
        <v>-3960</v>
      </c>
      <c r="I11" s="2">
        <f>IF(G11&lt;0,"🔴 SURVENTE",IF(G11&lt;10,"⚠️ FAIBLE","✅ OK"))</f>
        <v/>
      </c>
    </row>
    <row r="12">
      <c r="A12" s="2" t="inlineStr">
        <is>
          <t>SUS-0011</t>
        </is>
      </c>
      <c r="B12" s="2" t="inlineStr">
        <is>
          <t>Suspension raphia 5</t>
        </is>
      </c>
      <c r="C12" s="2" t="inlineStr">
        <is>
          <t>Suspensions raphia</t>
        </is>
      </c>
      <c r="D12" s="4" t="n">
        <v>19</v>
      </c>
      <c r="E12" s="4" t="n">
        <v>46</v>
      </c>
      <c r="F12" s="4" t="n">
        <v>20</v>
      </c>
      <c r="G12" s="4" t="n">
        <v>45</v>
      </c>
      <c r="H12" s="4" t="n">
        <v>4050</v>
      </c>
      <c r="I12" s="2">
        <f>IF(G12&lt;0,"🔴 SURVENTE",IF(G12&lt;10,"⚠️ FAIBLE","✅ OK"))</f>
        <v/>
      </c>
    </row>
    <row r="13">
      <c r="A13" s="2" t="inlineStr">
        <is>
          <t>SUS-0016</t>
        </is>
      </c>
      <c r="B13" s="2" t="inlineStr">
        <is>
          <t>Suspensions franges n°1</t>
        </is>
      </c>
      <c r="C13" s="2" t="inlineStr">
        <is>
          <t>Suspensions franges</t>
        </is>
      </c>
      <c r="D13" s="5" t="n">
        <v>-27</v>
      </c>
      <c r="E13" s="4" t="n">
        <v>23</v>
      </c>
      <c r="F13" s="4" t="n">
        <v>46</v>
      </c>
      <c r="G13" s="5" t="n">
        <v>-50</v>
      </c>
      <c r="H13" s="5" t="n">
        <v>-3500</v>
      </c>
      <c r="I13" s="2">
        <f>IF(G13&lt;0,"🔴 SURVENTE",IF(G13&lt;10,"⚠️ FAIBLE","✅ OK"))</f>
        <v/>
      </c>
    </row>
    <row r="14">
      <c r="A14" s="2" t="inlineStr">
        <is>
          <t>SUS-0015</t>
        </is>
      </c>
      <c r="B14" s="2" t="inlineStr">
        <is>
          <t>Suspension frange n°3</t>
        </is>
      </c>
      <c r="C14" s="2" t="inlineStr">
        <is>
          <t>Suspensions franges</t>
        </is>
      </c>
      <c r="D14" s="5" t="n">
        <v>-5</v>
      </c>
      <c r="E14" s="4" t="n">
        <v>16</v>
      </c>
      <c r="F14" s="4" t="n">
        <v>12</v>
      </c>
      <c r="G14" s="5" t="n">
        <v>-1</v>
      </c>
      <c r="H14" s="5" t="n">
        <v>-70</v>
      </c>
      <c r="I14" s="2">
        <f>IF(G14&lt;0,"🔴 SURVENTE",IF(G14&lt;10,"⚠️ FAIBLE","✅ OK"))</f>
        <v/>
      </c>
    </row>
    <row r="15">
      <c r="A15" s="2" t="inlineStr">
        <is>
          <t>SUS-0014</t>
        </is>
      </c>
      <c r="B15" s="2" t="inlineStr">
        <is>
          <t>Suspension frange n°5</t>
        </is>
      </c>
      <c r="C15" s="2" t="inlineStr">
        <is>
          <t>Suspensions franges</t>
        </is>
      </c>
      <c r="D15" s="3" t="n">
        <v>7</v>
      </c>
      <c r="E15" s="4" t="n">
        <v>31</v>
      </c>
      <c r="F15" s="4" t="n">
        <v>29</v>
      </c>
      <c r="G15" s="3" t="n">
        <v>9</v>
      </c>
      <c r="H15" s="4" t="n">
        <v>630</v>
      </c>
      <c r="I15" s="2">
        <f>IF(G15&lt;0,"🔴 SURVENTE",IF(G15&lt;10,"⚠️ FAIBLE","✅ OK"))</f>
        <v/>
      </c>
    </row>
    <row r="16">
      <c r="A16" s="2" t="inlineStr">
        <is>
          <t>SUS-0005</t>
        </is>
      </c>
      <c r="B16" s="2" t="inlineStr">
        <is>
          <t>Suspensions frange n°2</t>
        </is>
      </c>
      <c r="C16" s="2" t="inlineStr">
        <is>
          <t>Suspensions franges</t>
        </is>
      </c>
      <c r="D16" s="3" t="n">
        <v>0</v>
      </c>
      <c r="E16" s="4" t="n">
        <v>36</v>
      </c>
      <c r="F16" s="4" t="n">
        <v>11</v>
      </c>
      <c r="G16" s="4" t="n">
        <v>25</v>
      </c>
      <c r="H16" s="4" t="n">
        <v>1750</v>
      </c>
      <c r="I16" s="2">
        <f>IF(G16&lt;0,"🔴 SURVENTE",IF(G16&lt;10,"⚠️ FAIBLE","✅ OK"))</f>
        <v/>
      </c>
    </row>
    <row r="17">
      <c r="A17" s="2" t="inlineStr">
        <is>
          <t>SUS-0004</t>
        </is>
      </c>
      <c r="B17" s="2" t="inlineStr">
        <is>
          <t>Suspension frange n°4</t>
        </is>
      </c>
      <c r="C17" s="2" t="inlineStr">
        <is>
          <t>Suspensions franges</t>
        </is>
      </c>
      <c r="D17" s="3" t="n">
        <v>0</v>
      </c>
      <c r="E17" s="4" t="n">
        <v>29</v>
      </c>
      <c r="F17" s="3" t="n">
        <v>2</v>
      </c>
      <c r="G17" s="4" t="n">
        <v>27</v>
      </c>
      <c r="H17" s="4" t="n">
        <v>1890</v>
      </c>
      <c r="I17" s="2">
        <f>IF(G17&lt;0,"🔴 SURVENTE",IF(G17&lt;10,"⚠️ FAIBLE","✅ OK"))</f>
        <v/>
      </c>
    </row>
    <row r="18">
      <c r="A18" s="2" t="inlineStr">
        <is>
          <t>SUS-0006</t>
        </is>
      </c>
      <c r="B18" s="2" t="inlineStr">
        <is>
          <t>Suspension paille</t>
        </is>
      </c>
      <c r="C18" s="2" t="inlineStr">
        <is>
          <t>Suspensions paille</t>
        </is>
      </c>
      <c r="D18" s="3" t="n">
        <v>5</v>
      </c>
      <c r="E18" s="4" t="n">
        <v>34</v>
      </c>
      <c r="F18" s="4" t="n">
        <v>32</v>
      </c>
      <c r="G18" s="3" t="n">
        <v>7</v>
      </c>
      <c r="H18" s="4" t="n">
        <v>560</v>
      </c>
      <c r="I18" s="2">
        <f>IF(G18&lt;0,"🔴 SURVENTE",IF(G18&lt;10,"⚠️ FAIBLE","✅ OK"))</f>
        <v/>
      </c>
    </row>
    <row r="19">
      <c r="A19" s="2" t="inlineStr">
        <is>
          <t>PRD-0130</t>
        </is>
      </c>
      <c r="B19" s="2" t="inlineStr">
        <is>
          <t>Séparateur Terrasse</t>
        </is>
      </c>
      <c r="C19" s="2" t="inlineStr">
        <is>
          <t>Séparateurs</t>
        </is>
      </c>
      <c r="D19" s="5" t="n">
        <v>-1</v>
      </c>
      <c r="E19" s="3" t="n">
        <v>1</v>
      </c>
      <c r="F19" s="4" t="n">
        <v>46</v>
      </c>
      <c r="G19" s="5" t="n">
        <v>-46</v>
      </c>
      <c r="H19" s="5" t="n">
        <v>-80500</v>
      </c>
      <c r="I19" s="2">
        <f>IF(G19&lt;0,"🔴 SURVENTE",IF(G19&lt;10,"⚠️ FAIBLE","✅ OK"))</f>
        <v/>
      </c>
    </row>
    <row r="20">
      <c r="A20" s="2" t="inlineStr">
        <is>
          <t>DMU-0006</t>
        </is>
      </c>
      <c r="B20" s="2" t="inlineStr">
        <is>
          <t>Miroir XL</t>
        </is>
      </c>
      <c r="C20" s="2" t="inlineStr">
        <is>
          <t>Miroirs</t>
        </is>
      </c>
      <c r="D20" s="3" t="n">
        <v>0</v>
      </c>
      <c r="E20" s="3" t="n">
        <v>3</v>
      </c>
      <c r="F20" s="3" t="n">
        <v>4</v>
      </c>
      <c r="G20" s="5" t="n">
        <v>-1</v>
      </c>
      <c r="H20" s="5" t="n">
        <v>-250</v>
      </c>
      <c r="I20" s="2">
        <f>IF(G20&lt;0,"🔴 SURVENTE",IF(G20&lt;10,"⚠️ FAIBLE","✅ OK"))</f>
        <v/>
      </c>
    </row>
    <row r="21">
      <c r="A21" s="2" t="inlineStr">
        <is>
          <t>DMU-0010</t>
        </is>
      </c>
      <c r="B21" s="2" t="inlineStr">
        <is>
          <t>Lots 4 miroirs irrégulier laiton</t>
        </is>
      </c>
      <c r="C21" s="2" t="inlineStr">
        <is>
          <t>Miroirs</t>
        </is>
      </c>
      <c r="D21" s="5" t="n">
        <v>-3</v>
      </c>
      <c r="E21" s="3" t="n">
        <v>0</v>
      </c>
      <c r="F21" s="3" t="n">
        <v>7</v>
      </c>
      <c r="G21" s="5" t="n">
        <v>-10</v>
      </c>
      <c r="H21" s="5" t="n">
        <v>-2500</v>
      </c>
      <c r="I21" s="2">
        <f>IF(G21&lt;0,"🔴 SURVENTE",IF(G21&lt;10,"⚠️ FAIBLE","✅ OK"))</f>
        <v/>
      </c>
    </row>
    <row r="22">
      <c r="A22" s="2" t="inlineStr">
        <is>
          <t>DMU-0007</t>
        </is>
      </c>
      <c r="B22" s="2" t="inlineStr">
        <is>
          <t>Rond paille S</t>
        </is>
      </c>
      <c r="C22" s="2" t="inlineStr">
        <is>
          <t>Ronds paille</t>
        </is>
      </c>
      <c r="D22" s="3" t="n">
        <v>0</v>
      </c>
      <c r="E22" s="4" t="n">
        <v>18</v>
      </c>
      <c r="F22" s="4" t="n">
        <v>10</v>
      </c>
      <c r="G22" s="3" t="n">
        <v>8</v>
      </c>
      <c r="H22" s="4" t="n">
        <v>720</v>
      </c>
      <c r="I22" s="2">
        <f>IF(G22&lt;0,"🔴 SURVENTE",IF(G22&lt;10,"⚠️ FAIBLE","✅ OK"))</f>
        <v/>
      </c>
    </row>
    <row r="23">
      <c r="A23" s="2" t="inlineStr">
        <is>
          <t>DMU-0009</t>
        </is>
      </c>
      <c r="B23" s="2" t="inlineStr">
        <is>
          <t>Rond paille M</t>
        </is>
      </c>
      <c r="C23" s="2" t="inlineStr">
        <is>
          <t>Ronds paille</t>
        </is>
      </c>
      <c r="D23" s="3" t="n">
        <v>3</v>
      </c>
      <c r="E23" s="4" t="n">
        <v>15</v>
      </c>
      <c r="F23" s="4" t="n">
        <v>15</v>
      </c>
      <c r="G23" s="3" t="n">
        <v>3</v>
      </c>
      <c r="H23" s="4" t="n">
        <v>270</v>
      </c>
      <c r="I23" s="2">
        <f>IF(G23&lt;0,"🔴 SURVENTE",IF(G23&lt;10,"⚠️ FAIBLE","✅ OK"))</f>
        <v/>
      </c>
    </row>
    <row r="24">
      <c r="A24" s="2" t="inlineStr">
        <is>
          <t>DMU-0008</t>
        </is>
      </c>
      <c r="B24" s="2" t="inlineStr">
        <is>
          <t>Rond paille L</t>
        </is>
      </c>
      <c r="C24" s="2" t="inlineStr">
        <is>
          <t>Ronds paille</t>
        </is>
      </c>
      <c r="D24" s="5" t="n">
        <v>-1</v>
      </c>
      <c r="E24" s="4" t="n">
        <v>21</v>
      </c>
      <c r="F24" s="4" t="n">
        <v>12</v>
      </c>
      <c r="G24" s="3" t="n">
        <v>8</v>
      </c>
      <c r="H24" s="4" t="n">
        <v>800</v>
      </c>
      <c r="I24" s="2">
        <f>IF(G24&lt;0,"🔴 SURVENTE",IF(G24&lt;10,"⚠️ FAIBLE","✅ OK"))</f>
        <v/>
      </c>
    </row>
    <row r="25">
      <c r="A25" s="2" t="inlineStr">
        <is>
          <t>PRD-0124</t>
        </is>
      </c>
      <c r="B25" s="2" t="inlineStr">
        <is>
          <t>Banc artisanal bois - 100 cm</t>
        </is>
      </c>
      <c r="C25" s="2" t="inlineStr">
        <is>
          <t>Mobilier</t>
        </is>
      </c>
      <c r="D25" s="5" t="n">
        <v>-6</v>
      </c>
      <c r="E25" s="3" t="n">
        <v>5</v>
      </c>
      <c r="F25" s="3" t="n">
        <v>0</v>
      </c>
      <c r="G25" s="5" t="n">
        <v>-1</v>
      </c>
      <c r="H25" s="5" t="n">
        <v>-140</v>
      </c>
      <c r="I25" s="2">
        <f>IF(G25&lt;0,"🔴 SURVENTE",IF(G25&lt;10,"⚠️ FAIBLE","✅ OK"))</f>
        <v/>
      </c>
    </row>
    <row r="26">
      <c r="A26" s="2" t="inlineStr">
        <is>
          <t>PRD-0123</t>
        </is>
      </c>
      <c r="B26" s="2" t="inlineStr">
        <is>
          <t>Banc artisanal bois - 120 cm</t>
        </is>
      </c>
      <c r="C26" s="2" t="inlineStr">
        <is>
          <t>Mobilier</t>
        </is>
      </c>
      <c r="D26" s="5" t="n">
        <v>-1</v>
      </c>
      <c r="E26" s="3" t="n">
        <v>4</v>
      </c>
      <c r="F26" s="3" t="n">
        <v>0</v>
      </c>
      <c r="G26" s="3" t="n">
        <v>3</v>
      </c>
      <c r="H26" s="4" t="n">
        <v>420</v>
      </c>
      <c r="I26" s="2">
        <f>IF(G26&lt;0,"🔴 SURVENTE",IF(G26&lt;10,"⚠️ FAIBLE","✅ OK"))</f>
        <v/>
      </c>
    </row>
    <row r="27">
      <c r="A27" s="2" t="inlineStr">
        <is>
          <t>PRD-0105</t>
        </is>
      </c>
      <c r="B27" s="2" t="inlineStr">
        <is>
          <t>Ciel de bar</t>
        </is>
      </c>
      <c r="C27" s="2" t="inlineStr">
        <is>
          <t>Autres</t>
        </is>
      </c>
      <c r="D27" s="5" t="n">
        <v>-1</v>
      </c>
      <c r="E27" s="3" t="n">
        <v>0</v>
      </c>
      <c r="F27" s="4" t="n">
        <v>23</v>
      </c>
      <c r="G27" s="5" t="n">
        <v>-24</v>
      </c>
      <c r="H27" s="5" t="n">
        <v>-7458</v>
      </c>
      <c r="I27" s="2">
        <f>IF(G27&lt;0,"🔴 SURVENTE",IF(G27&lt;10,"⚠️ FAIBLE","✅ OK"))</f>
        <v/>
      </c>
    </row>
    <row r="28">
      <c r="A28" s="2" t="inlineStr">
        <is>
          <t>PRD-0132</t>
        </is>
      </c>
      <c r="B28" s="2" t="inlineStr">
        <is>
          <t>Poubelle à POKAWA</t>
        </is>
      </c>
      <c r="C28" s="2" t="inlineStr">
        <is>
          <t>Autres</t>
        </is>
      </c>
      <c r="D28" s="3" t="n">
        <v>0</v>
      </c>
      <c r="E28" s="3" t="n">
        <v>0</v>
      </c>
      <c r="F28" s="3" t="n">
        <v>7</v>
      </c>
      <c r="G28" s="5" t="n">
        <v>-7</v>
      </c>
      <c r="H28" s="5" t="n">
        <v>-5862</v>
      </c>
      <c r="I28" s="2">
        <f>IF(G28&lt;0,"🔴 SURVENTE",IF(G28&lt;10,"⚠️ FAIBLE","✅ OK"))</f>
        <v/>
      </c>
    </row>
    <row r="29">
      <c r="A29" s="2" t="inlineStr">
        <is>
          <t>PRD-0309</t>
        </is>
      </c>
      <c r="B29" s="2" t="inlineStr">
        <is>
          <t>Meuble TABESTO à POKAWA</t>
        </is>
      </c>
      <c r="C29" s="2" t="inlineStr">
        <is>
          <t>Autres</t>
        </is>
      </c>
      <c r="D29" s="3" t="n">
        <v>0</v>
      </c>
      <c r="E29" s="3" t="n">
        <v>0</v>
      </c>
      <c r="F29" s="3" t="n">
        <v>5</v>
      </c>
      <c r="G29" s="5" t="n">
        <v>-5</v>
      </c>
      <c r="H29" s="5" t="n">
        <v>-4525</v>
      </c>
      <c r="I29" s="2">
        <f>IF(G29&lt;0,"🔴 SURVENTE",IF(G29&lt;10,"⚠️ FAIBLE","✅ OK"))</f>
        <v/>
      </c>
    </row>
  </sheetData>
  <autoFilter ref="A1:I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5" customWidth="1" min="4" max="4"/>
    <col width="8" customWidth="1" min="5" max="5"/>
    <col width="8" customWidth="1" min="6" max="6"/>
    <col width="13" customWidth="1" min="7" max="7"/>
    <col width="17" customWidth="1" min="8" max="8"/>
    <col width="50" customWidth="1" min="9" max="9"/>
  </cols>
  <sheetData>
    <row r="1">
      <c r="A1" s="1" t="inlineStr">
        <is>
          <t>SKU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Stock initial</t>
        </is>
      </c>
      <c r="E1" s="1" t="inlineStr">
        <is>
          <t>Achats</t>
        </is>
      </c>
      <c r="F1" s="1" t="inlineStr">
        <is>
          <t>Ventes</t>
        </is>
      </c>
      <c r="G1" s="1" t="inlineStr">
        <is>
          <t>Stock final</t>
        </is>
      </c>
      <c r="H1" s="1" t="inlineStr">
        <is>
          <t>Valorisation HT</t>
        </is>
      </c>
      <c r="I1" s="1" t="inlineStr">
        <is>
          <t>Statut</t>
        </is>
      </c>
    </row>
    <row r="2">
      <c r="A2" s="2" t="inlineStr">
        <is>
          <t>PRD-0081</t>
        </is>
      </c>
      <c r="B2" s="2" t="inlineStr">
        <is>
          <t>Plateau bois 20x30 cm</t>
        </is>
      </c>
      <c r="C2" s="2" t="inlineStr">
        <is>
          <t>Plateaux</t>
        </is>
      </c>
      <c r="D2" s="5" t="n">
        <v>-60</v>
      </c>
      <c r="E2" s="3" t="n">
        <v>0</v>
      </c>
      <c r="F2" s="4" t="n">
        <v>143</v>
      </c>
      <c r="G2" s="5" t="n">
        <v>-203</v>
      </c>
      <c r="H2" s="5" t="n">
        <v>-2030</v>
      </c>
      <c r="I2" s="2">
        <f>IF(G2&lt;0,"🔴 SURVENTE",IF(G2&lt;10,"⚠️ FAIBLE","✅ OK"))</f>
        <v/>
      </c>
    </row>
    <row r="3">
      <c r="A3" s="2" t="inlineStr">
        <is>
          <t>PRD-0082</t>
        </is>
      </c>
      <c r="B3" s="2" t="inlineStr">
        <is>
          <t>Plateau bois 30x40 cm</t>
        </is>
      </c>
      <c r="C3" s="2" t="inlineStr">
        <is>
          <t>Plateaux</t>
        </is>
      </c>
      <c r="D3" s="4" t="n">
        <v>249</v>
      </c>
      <c r="E3" s="3" t="n">
        <v>0</v>
      </c>
      <c r="F3" s="3" t="n">
        <v>0</v>
      </c>
      <c r="G3" s="4" t="n">
        <v>249</v>
      </c>
      <c r="H3" s="4" t="n">
        <v>2490</v>
      </c>
      <c r="I3" s="2">
        <f>IF(G3&lt;0,"🔴 SURVENTE",IF(G3&lt;10,"⚠️ FAIBLE","✅ OK"))</f>
        <v/>
      </c>
    </row>
    <row r="4">
      <c r="A4" s="2" t="inlineStr">
        <is>
          <t>PRD-0050</t>
        </is>
      </c>
      <c r="B4" s="2" t="inlineStr">
        <is>
          <t>Coussin Rêveur</t>
        </is>
      </c>
      <c r="C4" s="2" t="inlineStr">
        <is>
          <t>Coussins spécialisés</t>
        </is>
      </c>
      <c r="D4" s="4" t="n">
        <v>167</v>
      </c>
      <c r="E4" s="3" t="n">
        <v>0</v>
      </c>
      <c r="F4" s="4" t="n">
        <v>17</v>
      </c>
      <c r="G4" s="4" t="n">
        <v>150</v>
      </c>
      <c r="H4" s="4" t="n">
        <v>3750</v>
      </c>
      <c r="I4" s="2">
        <f>IF(G4&lt;0,"🔴 SURVENTE",IF(G4&lt;10,"⚠️ FAIBLE","✅ OK"))</f>
        <v/>
      </c>
    </row>
    <row r="5">
      <c r="A5" s="2" t="inlineStr">
        <is>
          <t>PRD-0055</t>
        </is>
      </c>
      <c r="B5" s="2" t="inlineStr">
        <is>
          <t>Coussin Évasion Bleu</t>
        </is>
      </c>
      <c r="C5" s="2" t="inlineStr">
        <is>
          <t>Coussins spécialisés</t>
        </is>
      </c>
      <c r="D5" s="4" t="n">
        <v>86</v>
      </c>
      <c r="E5" s="3" t="n">
        <v>0</v>
      </c>
      <c r="F5" s="4" t="n">
        <v>14</v>
      </c>
      <c r="G5" s="4" t="n">
        <v>72</v>
      </c>
      <c r="H5" s="4" t="n">
        <v>2160</v>
      </c>
      <c r="I5" s="2">
        <f>IF(G5&lt;0,"🔴 SURVENTE",IF(G5&lt;10,"⚠️ FAIBLE","✅ OK"))</f>
        <v/>
      </c>
    </row>
    <row r="6">
      <c r="A6" s="2" t="inlineStr">
        <is>
          <t>PRD-0054</t>
        </is>
      </c>
      <c r="B6" s="2" t="inlineStr">
        <is>
          <t>Coussin Rose Sérénité</t>
        </is>
      </c>
      <c r="C6" s="2" t="inlineStr">
        <is>
          <t>Coussins spécialisés</t>
        </is>
      </c>
      <c r="D6" s="4" t="n">
        <v>113</v>
      </c>
      <c r="E6" s="3" t="n">
        <v>0</v>
      </c>
      <c r="F6" s="4" t="n">
        <v>18</v>
      </c>
      <c r="G6" s="4" t="n">
        <v>95</v>
      </c>
      <c r="H6" s="4" t="n">
        <v>2850</v>
      </c>
      <c r="I6" s="2">
        <f>IF(G6&lt;0,"🔴 SURVENTE",IF(G6&lt;10,"⚠️ FAIBLE","✅ OK"))</f>
        <v/>
      </c>
    </row>
    <row r="7">
      <c r="A7" s="2" t="inlineStr">
        <is>
          <t>PRD-0285</t>
        </is>
      </c>
      <c r="B7" s="2" t="inlineStr">
        <is>
          <t>Coussin Blanc</t>
        </is>
      </c>
      <c r="C7" s="2" t="inlineStr">
        <is>
          <t>Coussins génériques</t>
        </is>
      </c>
      <c r="D7" s="5" t="n">
        <v>-48</v>
      </c>
      <c r="E7" s="3" t="n">
        <v>0</v>
      </c>
      <c r="F7" s="3" t="n">
        <v>0</v>
      </c>
      <c r="G7" s="5" t="n">
        <v>-48</v>
      </c>
      <c r="H7" s="5" t="n">
        <v>-4800</v>
      </c>
      <c r="I7" s="2">
        <f>IF(G7&lt;0,"🔴 SURVENTE",IF(G7&lt;10,"⚠️ FAIBLE","✅ OK"))</f>
        <v/>
      </c>
    </row>
    <row r="8">
      <c r="A8" s="2" t="inlineStr">
        <is>
          <t>PRD-0286</t>
        </is>
      </c>
      <c r="B8" s="2" t="inlineStr">
        <is>
          <t>Coussin Bleu</t>
        </is>
      </c>
      <c r="C8" s="2" t="inlineStr">
        <is>
          <t>Coussins génériques</t>
        </is>
      </c>
      <c r="D8" s="5" t="n">
        <v>-22</v>
      </c>
      <c r="E8" s="3" t="n">
        <v>0</v>
      </c>
      <c r="F8" s="3" t="n">
        <v>0</v>
      </c>
      <c r="G8" s="5" t="n">
        <v>-22</v>
      </c>
      <c r="H8" s="5" t="n">
        <v>-2200</v>
      </c>
      <c r="I8" s="2">
        <f>IF(G8&lt;0,"🔴 SURVENTE",IF(G8&lt;10,"⚠️ FAIBLE","✅ OK"))</f>
        <v/>
      </c>
    </row>
    <row r="9">
      <c r="A9" s="2" t="inlineStr">
        <is>
          <t>PRD-0287</t>
        </is>
      </c>
      <c r="B9" s="2" t="inlineStr">
        <is>
          <t>Coussin beige</t>
        </is>
      </c>
      <c r="C9" s="2" t="inlineStr">
        <is>
          <t>Coussins génériques</t>
        </is>
      </c>
      <c r="D9" s="5" t="n">
        <v>-31</v>
      </c>
      <c r="E9" s="3" t="n">
        <v>0</v>
      </c>
      <c r="F9" s="3" t="n">
        <v>0</v>
      </c>
      <c r="G9" s="5" t="n">
        <v>-31</v>
      </c>
      <c r="H9" s="5" t="n">
        <v>-3100</v>
      </c>
      <c r="I9" s="2">
        <f>IF(G9&lt;0,"🔴 SURVENTE",IF(G9&lt;10,"⚠️ FAIBLE","✅ OK"))</f>
        <v/>
      </c>
    </row>
    <row r="10">
      <c r="A10" s="2" t="inlineStr">
        <is>
          <t>SUS-0013</t>
        </is>
      </c>
      <c r="B10" s="2" t="inlineStr">
        <is>
          <t>Suspension raphia 3</t>
        </is>
      </c>
      <c r="C10" s="2" t="inlineStr">
        <is>
          <t>Suspensions raphia</t>
        </is>
      </c>
      <c r="D10" s="5" t="n">
        <v>-62</v>
      </c>
      <c r="E10" s="4" t="n">
        <v>70</v>
      </c>
      <c r="F10" s="4" t="n">
        <v>24</v>
      </c>
      <c r="G10" s="5" t="n">
        <v>-16</v>
      </c>
      <c r="H10" s="5" t="n">
        <v>-1440</v>
      </c>
      <c r="I10" s="2">
        <f>IF(G10&lt;0,"🔴 SURVENTE",IF(G10&lt;10,"⚠️ FAIBLE","✅ OK"))</f>
        <v/>
      </c>
    </row>
    <row r="11">
      <c r="A11" s="2" t="inlineStr">
        <is>
          <t>SUS-0012</t>
        </is>
      </c>
      <c r="B11" s="2" t="inlineStr">
        <is>
          <t>Suspension raphia 6</t>
        </is>
      </c>
      <c r="C11" s="2" t="inlineStr">
        <is>
          <t>Suspensions raphia</t>
        </is>
      </c>
      <c r="D11" s="5" t="n">
        <v>-44</v>
      </c>
      <c r="E11" s="4" t="n">
        <v>39</v>
      </c>
      <c r="F11" s="3" t="n">
        <v>1</v>
      </c>
      <c r="G11" s="5" t="n">
        <v>-6</v>
      </c>
      <c r="H11" s="5" t="n">
        <v>-540</v>
      </c>
      <c r="I11" s="2">
        <f>IF(G11&lt;0,"🔴 SURVENTE",IF(G11&lt;10,"⚠️ FAIBLE","✅ OK"))</f>
        <v/>
      </c>
    </row>
    <row r="12">
      <c r="A12" s="2" t="inlineStr">
        <is>
          <t>SUS-0011</t>
        </is>
      </c>
      <c r="B12" s="2" t="inlineStr">
        <is>
          <t>Suspension raphia 5</t>
        </is>
      </c>
      <c r="C12" s="2" t="inlineStr">
        <is>
          <t>Suspensions raphia</t>
        </is>
      </c>
      <c r="D12" s="4" t="n">
        <v>45</v>
      </c>
      <c r="E12" s="3" t="n">
        <v>0</v>
      </c>
      <c r="F12" s="3" t="n">
        <v>8</v>
      </c>
      <c r="G12" s="4" t="n">
        <v>37</v>
      </c>
      <c r="H12" s="4" t="n">
        <v>3330</v>
      </c>
      <c r="I12" s="2">
        <f>IF(G12&lt;0,"🔴 SURVENTE",IF(G12&lt;10,"⚠️ FAIBLE","✅ OK"))</f>
        <v/>
      </c>
    </row>
    <row r="13">
      <c r="A13" s="2" t="inlineStr">
        <is>
          <t>SUS-0016</t>
        </is>
      </c>
      <c r="B13" s="2" t="inlineStr">
        <is>
          <t>Suspensions franges n°1</t>
        </is>
      </c>
      <c r="C13" s="2" t="inlineStr">
        <is>
          <t>Suspensions franges</t>
        </is>
      </c>
      <c r="D13" s="5" t="n">
        <v>-50</v>
      </c>
      <c r="E13" s="3" t="n">
        <v>0</v>
      </c>
      <c r="F13" s="3" t="n">
        <v>2</v>
      </c>
      <c r="G13" s="5" t="n">
        <v>-52</v>
      </c>
      <c r="H13" s="5" t="n">
        <v>-3640</v>
      </c>
      <c r="I13" s="2">
        <f>IF(G13&lt;0,"🔴 SURVENTE",IF(G13&lt;10,"⚠️ FAIBLE","✅ OK"))</f>
        <v/>
      </c>
    </row>
    <row r="14">
      <c r="A14" s="2" t="inlineStr">
        <is>
          <t>SUS-0015</t>
        </is>
      </c>
      <c r="B14" s="2" t="inlineStr">
        <is>
          <t>Suspension frange n°3</t>
        </is>
      </c>
      <c r="C14" s="2" t="inlineStr">
        <is>
          <t>Suspensions franges</t>
        </is>
      </c>
      <c r="D14" s="5" t="n">
        <v>-1</v>
      </c>
      <c r="E14" s="3" t="n">
        <v>0</v>
      </c>
      <c r="F14" s="3" t="n">
        <v>2</v>
      </c>
      <c r="G14" s="5" t="n">
        <v>-3</v>
      </c>
      <c r="H14" s="5" t="n">
        <v>-210</v>
      </c>
      <c r="I14" s="2">
        <f>IF(G14&lt;0,"🔴 SURVENTE",IF(G14&lt;10,"⚠️ FAIBLE","✅ OK"))</f>
        <v/>
      </c>
    </row>
    <row r="15">
      <c r="A15" s="2" t="inlineStr">
        <is>
          <t>SUS-0014</t>
        </is>
      </c>
      <c r="B15" s="2" t="inlineStr">
        <is>
          <t>Suspension frange n°5</t>
        </is>
      </c>
      <c r="C15" s="2" t="inlineStr">
        <is>
          <t>Suspensions franges</t>
        </is>
      </c>
      <c r="D15" s="3" t="n">
        <v>9</v>
      </c>
      <c r="E15" s="3" t="n">
        <v>0</v>
      </c>
      <c r="F15" s="3" t="n">
        <v>0</v>
      </c>
      <c r="G15" s="3" t="n">
        <v>9</v>
      </c>
      <c r="H15" s="4" t="n">
        <v>630</v>
      </c>
      <c r="I15" s="2">
        <f>IF(G15&lt;0,"🔴 SURVENTE",IF(G15&lt;10,"⚠️ FAIBLE","✅ OK"))</f>
        <v/>
      </c>
    </row>
    <row r="16">
      <c r="A16" s="2" t="inlineStr">
        <is>
          <t>SUS-0005</t>
        </is>
      </c>
      <c r="B16" s="2" t="inlineStr">
        <is>
          <t>Suspensions frange n°2</t>
        </is>
      </c>
      <c r="C16" s="2" t="inlineStr">
        <is>
          <t>Suspensions franges</t>
        </is>
      </c>
      <c r="D16" s="4" t="n">
        <v>25</v>
      </c>
      <c r="E16" s="3" t="n">
        <v>0</v>
      </c>
      <c r="F16" s="4" t="n">
        <v>11</v>
      </c>
      <c r="G16" s="4" t="n">
        <v>14</v>
      </c>
      <c r="H16" s="4" t="n">
        <v>980</v>
      </c>
      <c r="I16" s="2">
        <f>IF(G16&lt;0,"🔴 SURVENTE",IF(G16&lt;10,"⚠️ FAIBLE","✅ OK"))</f>
        <v/>
      </c>
    </row>
    <row r="17">
      <c r="A17" s="2" t="inlineStr">
        <is>
          <t>SUS-0004</t>
        </is>
      </c>
      <c r="B17" s="2" t="inlineStr">
        <is>
          <t>Suspension frange n°4</t>
        </is>
      </c>
      <c r="C17" s="2" t="inlineStr">
        <is>
          <t>Suspensions franges</t>
        </is>
      </c>
      <c r="D17" s="4" t="n">
        <v>27</v>
      </c>
      <c r="E17" s="3" t="n">
        <v>0</v>
      </c>
      <c r="F17" s="3" t="n">
        <v>0</v>
      </c>
      <c r="G17" s="4" t="n">
        <v>27</v>
      </c>
      <c r="H17" s="4" t="n">
        <v>1890</v>
      </c>
      <c r="I17" s="2">
        <f>IF(G17&lt;0,"🔴 SURVENTE",IF(G17&lt;10,"⚠️ FAIBLE","✅ OK"))</f>
        <v/>
      </c>
    </row>
    <row r="18">
      <c r="A18" s="2" t="inlineStr">
        <is>
          <t>SUS-0006</t>
        </is>
      </c>
      <c r="B18" s="2" t="inlineStr">
        <is>
          <t>Suspension paille</t>
        </is>
      </c>
      <c r="C18" s="2" t="inlineStr">
        <is>
          <t>Suspensions paille</t>
        </is>
      </c>
      <c r="D18" s="3" t="n">
        <v>7</v>
      </c>
      <c r="E18" s="3" t="n">
        <v>0</v>
      </c>
      <c r="F18" s="3" t="n">
        <v>0</v>
      </c>
      <c r="G18" s="3" t="n">
        <v>7</v>
      </c>
      <c r="H18" s="4" t="n">
        <v>560</v>
      </c>
      <c r="I18" s="2">
        <f>IF(G18&lt;0,"🔴 SURVENTE",IF(G18&lt;10,"⚠️ FAIBLE","✅ OK"))</f>
        <v/>
      </c>
    </row>
    <row r="19">
      <c r="A19" s="2" t="inlineStr">
        <is>
          <t>PRD-0130</t>
        </is>
      </c>
      <c r="B19" s="2" t="inlineStr">
        <is>
          <t>Séparateur Terrasse</t>
        </is>
      </c>
      <c r="C19" s="2" t="inlineStr">
        <is>
          <t>Séparateurs</t>
        </is>
      </c>
      <c r="D19" s="5" t="n">
        <v>-46</v>
      </c>
      <c r="E19" s="3" t="n">
        <v>0</v>
      </c>
      <c r="F19" s="3" t="n">
        <v>2</v>
      </c>
      <c r="G19" s="5" t="n">
        <v>-48</v>
      </c>
      <c r="H19" s="5" t="n">
        <v>-84000</v>
      </c>
      <c r="I19" s="2">
        <f>IF(G19&lt;0,"🔴 SURVENTE",IF(G19&lt;10,"⚠️ FAIBLE","✅ OK"))</f>
        <v/>
      </c>
    </row>
    <row r="20">
      <c r="A20" s="2" t="inlineStr">
        <is>
          <t>DMU-0006</t>
        </is>
      </c>
      <c r="B20" s="2" t="inlineStr">
        <is>
          <t>Miroir XL</t>
        </is>
      </c>
      <c r="C20" s="2" t="inlineStr">
        <is>
          <t>Miroirs</t>
        </is>
      </c>
      <c r="D20" s="5" t="n">
        <v>-1</v>
      </c>
      <c r="E20" s="3" t="n">
        <v>0</v>
      </c>
      <c r="F20" s="3" t="n">
        <v>0</v>
      </c>
      <c r="G20" s="5" t="n">
        <v>-1</v>
      </c>
      <c r="H20" s="5" t="n">
        <v>-250</v>
      </c>
      <c r="I20" s="2">
        <f>IF(G20&lt;0,"🔴 SURVENTE",IF(G20&lt;10,"⚠️ FAIBLE","✅ OK"))</f>
        <v/>
      </c>
    </row>
    <row r="21">
      <c r="A21" s="2" t="inlineStr">
        <is>
          <t>DMU-0010</t>
        </is>
      </c>
      <c r="B21" s="2" t="inlineStr">
        <is>
          <t>Lots 4 miroirs irrégulier laiton</t>
        </is>
      </c>
      <c r="C21" s="2" t="inlineStr">
        <is>
          <t>Miroirs</t>
        </is>
      </c>
      <c r="D21" s="5" t="n">
        <v>-10</v>
      </c>
      <c r="E21" s="3" t="n">
        <v>0</v>
      </c>
      <c r="F21" s="3" t="n">
        <v>0</v>
      </c>
      <c r="G21" s="5" t="n">
        <v>-10</v>
      </c>
      <c r="H21" s="5" t="n">
        <v>-2500</v>
      </c>
      <c r="I21" s="2">
        <f>IF(G21&lt;0,"🔴 SURVENTE",IF(G21&lt;10,"⚠️ FAIBLE","✅ OK"))</f>
        <v/>
      </c>
    </row>
    <row r="22">
      <c r="A22" s="2" t="inlineStr">
        <is>
          <t>DMU-0007</t>
        </is>
      </c>
      <c r="B22" s="2" t="inlineStr">
        <is>
          <t>Rond paille S</t>
        </is>
      </c>
      <c r="C22" s="2" t="inlineStr">
        <is>
          <t>Ronds paille</t>
        </is>
      </c>
      <c r="D22" s="3" t="n">
        <v>8</v>
      </c>
      <c r="E22" s="3" t="n">
        <v>0</v>
      </c>
      <c r="F22" s="3" t="n">
        <v>0</v>
      </c>
      <c r="G22" s="3" t="n">
        <v>8</v>
      </c>
      <c r="H22" s="4" t="n">
        <v>720</v>
      </c>
      <c r="I22" s="2">
        <f>IF(G22&lt;0,"🔴 SURVENTE",IF(G22&lt;10,"⚠️ FAIBLE","✅ OK"))</f>
        <v/>
      </c>
    </row>
    <row r="23">
      <c r="A23" s="2" t="inlineStr">
        <is>
          <t>DMU-0009</t>
        </is>
      </c>
      <c r="B23" s="2" t="inlineStr">
        <is>
          <t>Rond paille M</t>
        </is>
      </c>
      <c r="C23" s="2" t="inlineStr">
        <is>
          <t>Ronds paille</t>
        </is>
      </c>
      <c r="D23" s="3" t="n">
        <v>3</v>
      </c>
      <c r="E23" s="3" t="n">
        <v>0</v>
      </c>
      <c r="F23" s="3" t="n">
        <v>0</v>
      </c>
      <c r="G23" s="3" t="n">
        <v>3</v>
      </c>
      <c r="H23" s="4" t="n">
        <v>270</v>
      </c>
      <c r="I23" s="2">
        <f>IF(G23&lt;0,"🔴 SURVENTE",IF(G23&lt;10,"⚠️ FAIBLE","✅ OK"))</f>
        <v/>
      </c>
    </row>
    <row r="24">
      <c r="A24" s="2" t="inlineStr">
        <is>
          <t>DMU-0008</t>
        </is>
      </c>
      <c r="B24" s="2" t="inlineStr">
        <is>
          <t>Rond paille L</t>
        </is>
      </c>
      <c r="C24" s="2" t="inlineStr">
        <is>
          <t>Ronds paille</t>
        </is>
      </c>
      <c r="D24" s="3" t="n">
        <v>8</v>
      </c>
      <c r="E24" s="3" t="n">
        <v>0</v>
      </c>
      <c r="F24" s="3" t="n">
        <v>0</v>
      </c>
      <c r="G24" s="3" t="n">
        <v>8</v>
      </c>
      <c r="H24" s="4" t="n">
        <v>800</v>
      </c>
      <c r="I24" s="2">
        <f>IF(G24&lt;0,"🔴 SURVENTE",IF(G24&lt;10,"⚠️ FAIBLE","✅ OK"))</f>
        <v/>
      </c>
    </row>
    <row r="25">
      <c r="A25" s="2" t="inlineStr">
        <is>
          <t>PRD-0124</t>
        </is>
      </c>
      <c r="B25" s="2" t="inlineStr">
        <is>
          <t>Banc artisanal bois - 100 cm</t>
        </is>
      </c>
      <c r="C25" s="2" t="inlineStr">
        <is>
          <t>Mobilier</t>
        </is>
      </c>
      <c r="D25" s="5" t="n">
        <v>-1</v>
      </c>
      <c r="E25" s="3" t="n">
        <v>0</v>
      </c>
      <c r="F25" s="3" t="n">
        <v>0</v>
      </c>
      <c r="G25" s="5" t="n">
        <v>-1</v>
      </c>
      <c r="H25" s="5" t="n">
        <v>-140</v>
      </c>
      <c r="I25" s="2">
        <f>IF(G25&lt;0,"🔴 SURVENTE",IF(G25&lt;10,"⚠️ FAIBLE","✅ OK"))</f>
        <v/>
      </c>
    </row>
    <row r="26">
      <c r="A26" s="2" t="inlineStr">
        <is>
          <t>PRD-0123</t>
        </is>
      </c>
      <c r="B26" s="2" t="inlineStr">
        <is>
          <t>Banc artisanal bois - 120 cm</t>
        </is>
      </c>
      <c r="C26" s="2" t="inlineStr">
        <is>
          <t>Mobilier</t>
        </is>
      </c>
      <c r="D26" s="3" t="n">
        <v>3</v>
      </c>
      <c r="E26" s="3" t="n">
        <v>0</v>
      </c>
      <c r="F26" s="3" t="n">
        <v>0</v>
      </c>
      <c r="G26" s="3" t="n">
        <v>3</v>
      </c>
      <c r="H26" s="4" t="n">
        <v>420</v>
      </c>
      <c r="I26" s="2">
        <f>IF(G26&lt;0,"🔴 SURVENTE",IF(G26&lt;10,"⚠️ FAIBLE","✅ OK"))</f>
        <v/>
      </c>
    </row>
    <row r="27">
      <c r="A27" s="2" t="inlineStr">
        <is>
          <t>PRD-0105</t>
        </is>
      </c>
      <c r="B27" s="2" t="inlineStr">
        <is>
          <t>Ciel de bar</t>
        </is>
      </c>
      <c r="C27" s="2" t="inlineStr">
        <is>
          <t>Autres</t>
        </is>
      </c>
      <c r="D27" s="5" t="n">
        <v>-24</v>
      </c>
      <c r="E27" s="3" t="n">
        <v>0</v>
      </c>
      <c r="F27" s="3" t="n">
        <v>1</v>
      </c>
      <c r="G27" s="5" t="n">
        <v>-25</v>
      </c>
      <c r="H27" s="5" t="n">
        <v>-7768</v>
      </c>
      <c r="I27" s="2">
        <f>IF(G27&lt;0,"🔴 SURVENTE",IF(G27&lt;10,"⚠️ FAIBLE","✅ OK"))</f>
        <v/>
      </c>
    </row>
    <row r="28">
      <c r="A28" s="2" t="inlineStr">
        <is>
          <t>PRD-0132</t>
        </is>
      </c>
      <c r="B28" s="2" t="inlineStr">
        <is>
          <t>Poubelle à POKAWA</t>
        </is>
      </c>
      <c r="C28" s="2" t="inlineStr">
        <is>
          <t>Autres</t>
        </is>
      </c>
      <c r="D28" s="5" t="n">
        <v>-7</v>
      </c>
      <c r="E28" s="3" t="n">
        <v>0</v>
      </c>
      <c r="F28" s="3" t="n">
        <v>0</v>
      </c>
      <c r="G28" s="5" t="n">
        <v>-7</v>
      </c>
      <c r="H28" s="5" t="n">
        <v>-5862</v>
      </c>
      <c r="I28" s="2">
        <f>IF(G28&lt;0,"🔴 SURVENTE",IF(G28&lt;10,"⚠️ FAIBLE","✅ OK"))</f>
        <v/>
      </c>
    </row>
    <row r="29">
      <c r="A29" s="2" t="inlineStr">
        <is>
          <t>PRD-0309</t>
        </is>
      </c>
      <c r="B29" s="2" t="inlineStr">
        <is>
          <t>Meuble TABESTO à POKAWA</t>
        </is>
      </c>
      <c r="C29" s="2" t="inlineStr">
        <is>
          <t>Autres</t>
        </is>
      </c>
      <c r="D29" s="5" t="n">
        <v>-5</v>
      </c>
      <c r="E29" s="3" t="n">
        <v>0</v>
      </c>
      <c r="F29" s="3" t="n">
        <v>1</v>
      </c>
      <c r="G29" s="5" t="n">
        <v>-4</v>
      </c>
      <c r="H29" s="5" t="n">
        <v>-3620</v>
      </c>
      <c r="I29" s="2">
        <f>IF(G29&lt;0,"🔴 SURVENTE",IF(G29&lt;10,"⚠️ FAIBLE","✅ OK"))</f>
        <v/>
      </c>
    </row>
  </sheetData>
  <autoFilter ref="A1:I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1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  <col width="17" customWidth="1" min="9" max="9"/>
    <col width="24" customWidth="1" min="10" max="10"/>
    <col width="30" customWidth="1" min="11" max="11"/>
    <col width="10" customWidth="1" min="12" max="12"/>
  </cols>
  <sheetData>
    <row r="1">
      <c r="A1" s="1" t="inlineStr">
        <is>
          <t>SKU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Stock 2023</t>
        </is>
      </c>
      <c r="E1" s="1" t="inlineStr">
        <is>
          <t>Stock 2024</t>
        </is>
      </c>
      <c r="F1" s="1" t="inlineStr">
        <is>
          <t>Stock 2025</t>
        </is>
      </c>
      <c r="G1" s="1" t="inlineStr">
        <is>
          <t>Évolution</t>
        </is>
      </c>
      <c r="H1" s="1" t="inlineStr">
        <is>
          <t>Qté manquante</t>
        </is>
      </c>
      <c r="I1" s="1" t="inlineStr">
        <is>
          <t>Valorisation HT</t>
        </is>
      </c>
      <c r="J1" s="1" t="inlineStr">
        <is>
          <t>Fournisseur</t>
        </is>
      </c>
      <c r="K1" s="1" t="inlineStr">
        <is>
          <t>Action corrective</t>
        </is>
      </c>
      <c r="L1" s="1" t="inlineStr">
        <is>
          <t>Priorité</t>
        </is>
      </c>
    </row>
    <row r="2">
      <c r="A2" s="2" t="inlineStr">
        <is>
          <t>PRD-0081</t>
        </is>
      </c>
      <c r="B2" s="2" t="inlineStr">
        <is>
          <t>Plateau bois 20x30 cm</t>
        </is>
      </c>
      <c r="C2" s="2" t="inlineStr">
        <is>
          <t>Plateaux</t>
        </is>
      </c>
      <c r="D2" s="4" t="n">
        <v>180</v>
      </c>
      <c r="E2" s="5" t="n">
        <v>-60</v>
      </c>
      <c r="F2" s="5" t="n">
        <v>-203</v>
      </c>
      <c r="G2" s="2" t="inlineStr">
        <is>
          <t>🔴 AGGRAVÉE</t>
        </is>
      </c>
      <c r="H2" s="4" t="n">
        <v>203</v>
      </c>
      <c r="I2" s="4" t="n">
        <v>2030</v>
      </c>
      <c r="J2" s="2" t="inlineStr">
        <is>
          <t>Madeiragueda</t>
        </is>
      </c>
      <c r="K2" s="2" t="inlineStr">
        <is>
          <t>Commander 250 unités</t>
        </is>
      </c>
      <c r="L2" s="6" t="n">
        <v>1</v>
      </c>
    </row>
    <row r="3">
      <c r="A3" s="2" t="inlineStr">
        <is>
          <t>PRD-0285</t>
        </is>
      </c>
      <c r="B3" s="2" t="inlineStr">
        <is>
          <t>Coussin Blanc</t>
        </is>
      </c>
      <c r="C3" s="2" t="inlineStr">
        <is>
          <t>Coussins génériques</t>
        </is>
      </c>
      <c r="D3" s="5" t="n">
        <v>-38</v>
      </c>
      <c r="E3" s="5" t="n">
        <v>-48</v>
      </c>
      <c r="F3" s="5" t="n">
        <v>-48</v>
      </c>
      <c r="G3" s="2" t="inlineStr">
        <is>
          <t>🟡 STABLE</t>
        </is>
      </c>
      <c r="H3" s="4" t="n">
        <v>48</v>
      </c>
      <c r="I3" s="4" t="n">
        <v>4800</v>
      </c>
      <c r="J3" s="2" t="inlineStr">
        <is>
          <t>Affect Building</t>
        </is>
      </c>
      <c r="K3" s="2" t="inlineStr">
        <is>
          <t>Commander 50 unités</t>
        </is>
      </c>
      <c r="L3" s="6" t="n">
        <v>1</v>
      </c>
    </row>
    <row r="4">
      <c r="A4" s="2" t="inlineStr">
        <is>
          <t>PRD-0286</t>
        </is>
      </c>
      <c r="B4" s="2" t="inlineStr">
        <is>
          <t>Coussin Bleu</t>
        </is>
      </c>
      <c r="C4" s="2" t="inlineStr">
        <is>
          <t>Coussins génériques</t>
        </is>
      </c>
      <c r="D4" s="5" t="n">
        <v>-15</v>
      </c>
      <c r="E4" s="5" t="n">
        <v>-22</v>
      </c>
      <c r="F4" s="5" t="n">
        <v>-22</v>
      </c>
      <c r="G4" s="2" t="inlineStr">
        <is>
          <t>🟡 STABLE</t>
        </is>
      </c>
      <c r="H4" s="4" t="n">
        <v>22</v>
      </c>
      <c r="I4" s="4" t="n">
        <v>2200</v>
      </c>
      <c r="J4" s="2" t="inlineStr">
        <is>
          <t>Affect Building</t>
        </is>
      </c>
      <c r="K4" s="2" t="inlineStr">
        <is>
          <t>Commander 25 unités</t>
        </is>
      </c>
      <c r="L4" s="6" t="n">
        <v>1</v>
      </c>
    </row>
    <row r="5">
      <c r="A5" s="2" t="inlineStr">
        <is>
          <t>PRD-0287</t>
        </is>
      </c>
      <c r="B5" s="2" t="inlineStr">
        <is>
          <t>Coussin beige</t>
        </is>
      </c>
      <c r="C5" s="2" t="inlineStr">
        <is>
          <t>Coussins génériques</t>
        </is>
      </c>
      <c r="D5" s="5" t="n">
        <v>-18</v>
      </c>
      <c r="E5" s="5" t="n">
        <v>-31</v>
      </c>
      <c r="F5" s="5" t="n">
        <v>-31</v>
      </c>
      <c r="G5" s="2" t="inlineStr">
        <is>
          <t>🟡 STABLE</t>
        </is>
      </c>
      <c r="H5" s="4" t="n">
        <v>31</v>
      </c>
      <c r="I5" s="4" t="n">
        <v>3100</v>
      </c>
      <c r="J5" s="2" t="inlineStr">
        <is>
          <t>Affect Building</t>
        </is>
      </c>
      <c r="K5" s="2" t="inlineStr">
        <is>
          <t>Commander 35 unités</t>
        </is>
      </c>
      <c r="L5" s="6" t="n">
        <v>1</v>
      </c>
    </row>
    <row r="6">
      <c r="A6" s="2" t="inlineStr">
        <is>
          <t>SUS-0013</t>
        </is>
      </c>
      <c r="B6" s="2" t="inlineStr">
        <is>
          <t>Suspension raphia 3</t>
        </is>
      </c>
      <c r="C6" s="2" t="inlineStr">
        <is>
          <t>Suspensions raphia</t>
        </is>
      </c>
      <c r="D6" s="5" t="n">
        <v>-10</v>
      </c>
      <c r="E6" s="5" t="n">
        <v>-62</v>
      </c>
      <c r="F6" s="5" t="n">
        <v>-16</v>
      </c>
      <c r="G6" s="2" t="inlineStr">
        <is>
          <t>✅ AMÉLIORÉE</t>
        </is>
      </c>
      <c r="H6" s="4" t="n">
        <v>16</v>
      </c>
      <c r="I6" s="4" t="n">
        <v>1440</v>
      </c>
      <c r="J6" s="2" t="inlineStr">
        <is>
          <t>Maisons Nomades</t>
        </is>
      </c>
      <c r="K6" s="2" t="inlineStr">
        <is>
          <t>Commander 20 unités</t>
        </is>
      </c>
      <c r="L6" s="7" t="n">
        <v>2</v>
      </c>
    </row>
    <row r="7">
      <c r="A7" s="2" t="inlineStr">
        <is>
          <t>SUS-0012</t>
        </is>
      </c>
      <c r="B7" s="2" t="inlineStr">
        <is>
          <t>Suspension raphia 6</t>
        </is>
      </c>
      <c r="C7" s="2" t="inlineStr">
        <is>
          <t>Suspensions raphia</t>
        </is>
      </c>
      <c r="D7" s="5" t="n">
        <v>-24</v>
      </c>
      <c r="E7" s="5" t="n">
        <v>-44</v>
      </c>
      <c r="F7" s="5" t="n">
        <v>-6</v>
      </c>
      <c r="G7" s="2" t="inlineStr">
        <is>
          <t>✅ AMÉLIORÉE</t>
        </is>
      </c>
      <c r="H7" s="3" t="n">
        <v>6</v>
      </c>
      <c r="I7" s="4" t="n">
        <v>540</v>
      </c>
      <c r="J7" s="2" t="inlineStr">
        <is>
          <t>Maisons Nomades</t>
        </is>
      </c>
      <c r="K7" s="2" t="inlineStr">
        <is>
          <t>Commander 10 unités</t>
        </is>
      </c>
      <c r="L7" s="7" t="n">
        <v>2</v>
      </c>
    </row>
    <row r="8">
      <c r="A8" s="2" t="inlineStr">
        <is>
          <t>SUS-0016</t>
        </is>
      </c>
      <c r="B8" s="2" t="inlineStr">
        <is>
          <t>Suspensions franges n°1</t>
        </is>
      </c>
      <c r="C8" s="2" t="inlineStr">
        <is>
          <t>Suspensions franges</t>
        </is>
      </c>
      <c r="D8" s="5" t="n">
        <v>-27</v>
      </c>
      <c r="E8" s="5" t="n">
        <v>-50</v>
      </c>
      <c r="F8" s="5" t="n">
        <v>-52</v>
      </c>
      <c r="G8" s="2" t="inlineStr">
        <is>
          <t>🔴 AGGRAVÉE</t>
        </is>
      </c>
      <c r="H8" s="4" t="n">
        <v>52</v>
      </c>
      <c r="I8" s="4" t="n">
        <v>3640</v>
      </c>
      <c r="J8" s="2" t="inlineStr">
        <is>
          <t>Affect Building</t>
        </is>
      </c>
      <c r="K8" s="2" t="inlineStr">
        <is>
          <t>Commander 60 unités</t>
        </is>
      </c>
      <c r="L8" s="6" t="n">
        <v>1</v>
      </c>
    </row>
    <row r="9">
      <c r="A9" s="2" t="inlineStr">
        <is>
          <t>SUS-0015</t>
        </is>
      </c>
      <c r="B9" s="2" t="inlineStr">
        <is>
          <t>Suspension frange n°3</t>
        </is>
      </c>
      <c r="C9" s="2" t="inlineStr">
        <is>
          <t>Suspensions franges</t>
        </is>
      </c>
      <c r="D9" s="5" t="n">
        <v>-5</v>
      </c>
      <c r="E9" s="5" t="n">
        <v>-1</v>
      </c>
      <c r="F9" s="5" t="n">
        <v>-3</v>
      </c>
      <c r="G9" s="2" t="inlineStr">
        <is>
          <t>🔴 AGGRAVÉE</t>
        </is>
      </c>
      <c r="H9" s="3" t="n">
        <v>3</v>
      </c>
      <c r="I9" s="4" t="n">
        <v>210</v>
      </c>
      <c r="J9" s="2" t="inlineStr">
        <is>
          <t>Affect Building</t>
        </is>
      </c>
      <c r="K9" s="2" t="inlineStr">
        <is>
          <t>Commander 5 unités</t>
        </is>
      </c>
      <c r="L9" s="8" t="n">
        <v>3</v>
      </c>
    </row>
    <row r="10">
      <c r="A10" s="2" t="inlineStr">
        <is>
          <t>PRD-0130</t>
        </is>
      </c>
      <c r="B10" s="2" t="inlineStr">
        <is>
          <t>Séparateur Terrasse</t>
        </is>
      </c>
      <c r="C10" s="2" t="inlineStr">
        <is>
          <t>Séparateurs</t>
        </is>
      </c>
      <c r="D10" s="5" t="n">
        <v>-1</v>
      </c>
      <c r="E10" s="5" t="n">
        <v>-46</v>
      </c>
      <c r="F10" s="5" t="n">
        <v>-48</v>
      </c>
      <c r="G10" s="2" t="inlineStr">
        <is>
          <t>🔴 AGGRAVÉE</t>
        </is>
      </c>
      <c r="H10" s="4" t="n">
        <v>48</v>
      </c>
      <c r="I10" s="4" t="n">
        <v>84000</v>
      </c>
      <c r="J10" s="2" t="inlineStr">
        <is>
          <t>DSA</t>
        </is>
      </c>
      <c r="K10" s="2" t="inlineStr">
        <is>
          <t>Commander 50 unités URGENT</t>
        </is>
      </c>
      <c r="L10" s="6" t="n">
        <v>1</v>
      </c>
    </row>
    <row r="11">
      <c r="A11" s="2" t="inlineStr">
        <is>
          <t>PRD-0105</t>
        </is>
      </c>
      <c r="B11" s="2" t="inlineStr">
        <is>
          <t>Ciel de bar</t>
        </is>
      </c>
      <c r="C11" s="2" t="inlineStr">
        <is>
          <t>Autres</t>
        </is>
      </c>
      <c r="D11" s="5" t="n">
        <v>-1</v>
      </c>
      <c r="E11" s="5" t="n">
        <v>-24</v>
      </c>
      <c r="F11" s="5" t="n">
        <v>-25</v>
      </c>
      <c r="G11" s="2" t="inlineStr">
        <is>
          <t>🔴 AGGRAVÉE</t>
        </is>
      </c>
      <c r="H11" s="4" t="n">
        <v>25</v>
      </c>
      <c r="I11" s="4" t="n">
        <v>7768</v>
      </c>
      <c r="J11" s="2" t="inlineStr">
        <is>
          <t>Fabrication artisanale</t>
        </is>
      </c>
      <c r="K11" s="2" t="inlineStr">
        <is>
          <t>Vérifier factures manquantes</t>
        </is>
      </c>
      <c r="L11" s="7" t="n">
        <v>2</v>
      </c>
    </row>
    <row r="12">
      <c r="A12" s="2" t="inlineStr">
        <is>
          <t>PRD-0132</t>
        </is>
      </c>
      <c r="B12" s="2" t="inlineStr">
        <is>
          <t>Poubelle à POKAWA</t>
        </is>
      </c>
      <c r="C12" s="2" t="inlineStr">
        <is>
          <t>Autres</t>
        </is>
      </c>
      <c r="D12" s="3" t="n">
        <v>0</v>
      </c>
      <c r="E12" s="5" t="n">
        <v>-7</v>
      </c>
      <c r="F12" s="5" t="n">
        <v>-7</v>
      </c>
      <c r="G12" s="2" t="inlineStr">
        <is>
          <t>🟡 STABLE</t>
        </is>
      </c>
      <c r="H12" s="3" t="n">
        <v>7</v>
      </c>
      <c r="I12" s="4" t="n">
        <v>5862</v>
      </c>
      <c r="J12" s="2" t="inlineStr">
        <is>
          <t>Pokawa direct</t>
        </is>
      </c>
      <c r="K12" s="2" t="inlineStr">
        <is>
          <t>Vérifier source</t>
        </is>
      </c>
      <c r="L12" s="8" t="n">
        <v>3</v>
      </c>
    </row>
    <row r="13">
      <c r="A13" s="2" t="inlineStr">
        <is>
          <t>PRD-0309</t>
        </is>
      </c>
      <c r="B13" s="2" t="inlineStr">
        <is>
          <t>Meuble TABESTO à POKAWA</t>
        </is>
      </c>
      <c r="C13" s="2" t="inlineStr">
        <is>
          <t>Autres</t>
        </is>
      </c>
      <c r="D13" s="3" t="n">
        <v>0</v>
      </c>
      <c r="E13" s="5" t="n">
        <v>-5</v>
      </c>
      <c r="F13" s="5" t="n">
        <v>-4</v>
      </c>
      <c r="G13" s="2" t="inlineStr">
        <is>
          <t>✅ AMÉLIORÉE</t>
        </is>
      </c>
      <c r="H13" s="3" t="n">
        <v>4</v>
      </c>
      <c r="I13" s="4" t="n">
        <v>3620</v>
      </c>
      <c r="J13" s="2" t="inlineStr">
        <is>
          <t>Pokawa direct</t>
        </is>
      </c>
      <c r="K13" s="2" t="inlineStr">
        <is>
          <t>Vérifier source</t>
        </is>
      </c>
      <c r="L13" s="8" t="n">
        <v>3</v>
      </c>
    </row>
    <row r="14">
      <c r="A14" s="2" t="inlineStr">
        <is>
          <t>DMU-0006</t>
        </is>
      </c>
      <c r="B14" s="2" t="inlineStr">
        <is>
          <t>Miroir XL</t>
        </is>
      </c>
      <c r="C14" s="2" t="inlineStr">
        <is>
          <t>Miroirs</t>
        </is>
      </c>
      <c r="D14" s="3" t="n">
        <v>0</v>
      </c>
      <c r="E14" s="5" t="n">
        <v>-1</v>
      </c>
      <c r="F14" s="5" t="n">
        <v>-1</v>
      </c>
      <c r="G14" s="2" t="inlineStr">
        <is>
          <t>🟡 STABLE</t>
        </is>
      </c>
      <c r="H14" s="3" t="n">
        <v>1</v>
      </c>
      <c r="I14" s="4" t="n">
        <v>250</v>
      </c>
      <c r="J14" s="2" t="inlineStr">
        <is>
          <t>Affect Building</t>
        </is>
      </c>
      <c r="K14" s="2" t="inlineStr">
        <is>
          <t>Commander 2 unités</t>
        </is>
      </c>
      <c r="L14" s="8" t="n">
        <v>3</v>
      </c>
    </row>
    <row r="15">
      <c r="A15" s="2" t="inlineStr">
        <is>
          <t>DMU-0010</t>
        </is>
      </c>
      <c r="B15" s="2" t="inlineStr">
        <is>
          <t>Lots 4 miroirs</t>
        </is>
      </c>
      <c r="C15" s="2" t="inlineStr">
        <is>
          <t>Miroirs</t>
        </is>
      </c>
      <c r="D15" s="5" t="n">
        <v>-3</v>
      </c>
      <c r="E15" s="5" t="n">
        <v>-10</v>
      </c>
      <c r="F15" s="5" t="n">
        <v>-10</v>
      </c>
      <c r="G15" s="2" t="inlineStr">
        <is>
          <t>🔴 AGGRAVÉE</t>
        </is>
      </c>
      <c r="H15" s="4" t="n">
        <v>10</v>
      </c>
      <c r="I15" s="4" t="n">
        <v>2500</v>
      </c>
      <c r="J15" s="2" t="inlineStr">
        <is>
          <t>Affect Building</t>
        </is>
      </c>
      <c r="K15" s="2" t="inlineStr">
        <is>
          <t>Commander 12 unités</t>
        </is>
      </c>
      <c r="L15" s="7" t="n">
        <v>2</v>
      </c>
    </row>
    <row r="16">
      <c r="A16" s="2" t="inlineStr">
        <is>
          <t>PRD-0124</t>
        </is>
      </c>
      <c r="B16" s="2" t="inlineStr">
        <is>
          <t>Banc artisanal 100cm</t>
        </is>
      </c>
      <c r="C16" s="2" t="inlineStr">
        <is>
          <t>Mobilier</t>
        </is>
      </c>
      <c r="D16" s="5" t="n">
        <v>-6</v>
      </c>
      <c r="E16" s="5" t="n">
        <v>-1</v>
      </c>
      <c r="F16" s="5" t="n">
        <v>-1</v>
      </c>
      <c r="G16" s="2" t="inlineStr">
        <is>
          <t>✅ AMÉLIORÉE</t>
        </is>
      </c>
      <c r="H16" s="3" t="n">
        <v>1</v>
      </c>
      <c r="I16" s="4" t="n">
        <v>140</v>
      </c>
      <c r="J16" s="2" t="inlineStr">
        <is>
          <t>Affect Building</t>
        </is>
      </c>
      <c r="K16" s="2" t="inlineStr">
        <is>
          <t>Commander 2 unités</t>
        </is>
      </c>
      <c r="L16" s="8" t="n">
        <v>3</v>
      </c>
    </row>
  </sheetData>
  <autoFilter ref="A1:L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13" customWidth="1" min="4" max="4"/>
    <col width="12" customWidth="1" min="5" max="5"/>
    <col width="15" customWidth="1" min="6" max="6"/>
    <col width="17" customWidth="1" min="7" max="7"/>
    <col width="14" customWidth="1" min="8" max="8"/>
  </cols>
  <sheetData>
    <row r="1">
      <c r="A1" s="1" t="inlineStr">
        <is>
          <t>Produit acheté</t>
        </is>
      </c>
      <c r="B1" s="1" t="inlineStr">
        <is>
          <t>Fournisseur</t>
        </is>
      </c>
      <c r="C1" s="1" t="inlineStr">
        <is>
          <t>Date achat</t>
        </is>
      </c>
      <c r="D1" s="1" t="inlineStr">
        <is>
          <t>Qté achetée</t>
        </is>
      </c>
      <c r="E1" s="1" t="inlineStr">
        <is>
          <t>Qté vendue</t>
        </is>
      </c>
      <c r="F1" s="1" t="inlineStr">
        <is>
          <t>Stock restant</t>
        </is>
      </c>
      <c r="G1" s="1" t="inlineStr">
        <is>
          <t>Valorisation HT</t>
        </is>
      </c>
      <c r="H1" s="1" t="inlineStr">
        <is>
          <t>Raison</t>
        </is>
      </c>
    </row>
    <row r="2">
      <c r="A2" s="2" t="inlineStr">
        <is>
          <t>Vases OPJET (divers)</t>
        </is>
      </c>
      <c r="B2" s="2" t="inlineStr">
        <is>
          <t>OPJET</t>
        </is>
      </c>
      <c r="C2" s="2" t="inlineStr">
        <is>
          <t>2022-2025</t>
        </is>
      </c>
      <c r="D2" s="4" t="n">
        <v>200</v>
      </c>
      <c r="E2" s="3" t="n">
        <v>0</v>
      </c>
      <c r="F2" s="4" t="n">
        <v>200</v>
      </c>
      <c r="G2" s="4" t="n">
        <v>2500</v>
      </c>
      <c r="H2" s="2" t="inlineStr">
        <is>
          <t>Jamais vendu</t>
        </is>
      </c>
    </row>
    <row r="3">
      <c r="A3" s="2" t="inlineStr">
        <is>
          <t>Mobilier Bambou OPJET</t>
        </is>
      </c>
      <c r="B3" s="2" t="inlineStr">
        <is>
          <t>OPJET</t>
        </is>
      </c>
      <c r="C3" s="2" t="inlineStr">
        <is>
          <t>2022-2025</t>
        </is>
      </c>
      <c r="D3" s="4" t="n">
        <v>70</v>
      </c>
      <c r="E3" s="3" t="n">
        <v>0</v>
      </c>
      <c r="F3" s="4" t="n">
        <v>70</v>
      </c>
      <c r="G3" s="4" t="n">
        <v>8000</v>
      </c>
      <c r="H3" s="2" t="inlineStr">
        <is>
          <t>Jamais vendu</t>
        </is>
      </c>
    </row>
    <row r="4">
      <c r="A4" s="2" t="inlineStr">
        <is>
          <t>Miroirs Bambou OPJET</t>
        </is>
      </c>
      <c r="B4" s="2" t="inlineStr">
        <is>
          <t>OPJET</t>
        </is>
      </c>
      <c r="C4" s="2" t="inlineStr">
        <is>
          <t>2022-2025</t>
        </is>
      </c>
      <c r="D4" s="4" t="n">
        <v>38</v>
      </c>
      <c r="E4" s="3" t="n">
        <v>0</v>
      </c>
      <c r="F4" s="4" t="n">
        <v>38</v>
      </c>
      <c r="G4" s="4" t="n">
        <v>2000</v>
      </c>
      <c r="H4" s="2" t="inlineStr">
        <is>
          <t>Jamais vendu</t>
        </is>
      </c>
    </row>
    <row r="5">
      <c r="A5" s="2" t="inlineStr">
        <is>
          <t>Luminaires OPJET</t>
        </is>
      </c>
      <c r="B5" s="2" t="inlineStr">
        <is>
          <t>OPJET</t>
        </is>
      </c>
      <c r="C5" s="2" t="inlineStr">
        <is>
          <t>2022-2025</t>
        </is>
      </c>
      <c r="D5" s="4" t="n">
        <v>60</v>
      </c>
      <c r="E5" s="3" t="n">
        <v>0</v>
      </c>
      <c r="F5" s="4" t="n">
        <v>60</v>
      </c>
      <c r="G5" s="4" t="n">
        <v>3000</v>
      </c>
      <c r="H5" s="2" t="inlineStr">
        <is>
          <t>Jamais vendu</t>
        </is>
      </c>
    </row>
    <row r="6">
      <c r="A6" s="2" t="inlineStr">
        <is>
          <t>Suspension SF6 frange n°6</t>
        </is>
      </c>
      <c r="B6" s="2" t="inlineStr">
        <is>
          <t>Affect Building</t>
        </is>
      </c>
      <c r="C6" s="2" t="inlineStr">
        <is>
          <t>16/12/2024</t>
        </is>
      </c>
      <c r="D6" s="4" t="n">
        <v>31</v>
      </c>
      <c r="E6" s="3" t="n">
        <v>0</v>
      </c>
      <c r="F6" s="4" t="n">
        <v>31</v>
      </c>
      <c r="G6" s="4" t="n">
        <v>2246</v>
      </c>
      <c r="H6" s="2" t="inlineStr">
        <is>
          <t>Jamais vendu</t>
        </is>
      </c>
    </row>
    <row r="7">
      <c r="A7" s="2" t="inlineStr">
        <is>
          <t>Coussin macramé 50x40</t>
        </is>
      </c>
      <c r="B7" s="2" t="inlineStr">
        <is>
          <t>Affect Building</t>
        </is>
      </c>
      <c r="C7" s="2" t="inlineStr">
        <is>
          <t>15/06/2023</t>
        </is>
      </c>
      <c r="D7" s="4" t="n">
        <v>18</v>
      </c>
      <c r="E7" s="3" t="n">
        <v>0</v>
      </c>
      <c r="F7" s="4" t="n">
        <v>18</v>
      </c>
      <c r="G7" s="4" t="n">
        <v>701</v>
      </c>
      <c r="H7" s="2" t="inlineStr">
        <is>
          <t>Jamais vendu</t>
        </is>
      </c>
    </row>
    <row r="8">
      <c r="A8" s="2" t="inlineStr">
        <is>
          <t>Tabourets berbère</t>
        </is>
      </c>
      <c r="B8" s="2" t="inlineStr">
        <is>
          <t>Affect Building</t>
        </is>
      </c>
      <c r="C8" s="2" t="inlineStr">
        <is>
          <t>15/06/2023</t>
        </is>
      </c>
      <c r="D8" s="4" t="n">
        <v>33</v>
      </c>
      <c r="E8" s="3" t="n">
        <v>0</v>
      </c>
      <c r="F8" s="4" t="n">
        <v>33</v>
      </c>
      <c r="G8" s="4" t="n">
        <v>1492</v>
      </c>
      <c r="H8" s="2" t="inlineStr">
        <is>
          <t>Jamais vendu</t>
        </is>
      </c>
    </row>
    <row r="9">
      <c r="A9" s="2" t="inlineStr">
        <is>
          <t>Articles Zentrada</t>
        </is>
      </c>
      <c r="B9" s="2" t="inlineStr">
        <is>
          <t>Zentrada</t>
        </is>
      </c>
      <c r="C9" s="2" t="inlineStr">
        <is>
          <t>11/11/2025</t>
        </is>
      </c>
      <c r="D9" s="3" t="n">
        <v>1</v>
      </c>
      <c r="E9" s="3" t="n">
        <v>0</v>
      </c>
      <c r="F9" s="3" t="n">
        <v>1</v>
      </c>
      <c r="G9" s="4" t="n">
        <v>2927</v>
      </c>
      <c r="H9" s="2" t="inlineStr">
        <is>
          <t>Achat récent</t>
        </is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7" customWidth="1" min="3" max="3"/>
    <col width="12" customWidth="1" min="4" max="4"/>
  </cols>
  <sheetData>
    <row r="1">
      <c r="A1" s="9" t="inlineStr"/>
    </row>
    <row r="2">
      <c r="A2" s="10" t="inlineStr">
        <is>
          <t>SURVENTES PAR CATÉGORIE</t>
        </is>
      </c>
    </row>
    <row r="3">
      <c r="A3" s="11" t="inlineStr">
        <is>
          <t>Catégorie</t>
        </is>
      </c>
      <c r="B3" s="11" t="inlineStr">
        <is>
          <t>Qté manquante</t>
        </is>
      </c>
      <c r="C3" s="11" t="inlineStr">
        <is>
          <t>Valorisation HT</t>
        </is>
      </c>
      <c r="D3" s="11" t="inlineStr"/>
    </row>
    <row r="4">
      <c r="A4" t="inlineStr">
        <is>
          <t>Plateaux</t>
        </is>
      </c>
      <c r="B4" t="n">
        <v>203</v>
      </c>
      <c r="C4" t="n">
        <v>2030</v>
      </c>
      <c r="D4" t="inlineStr"/>
    </row>
    <row r="5">
      <c r="A5" t="inlineStr">
        <is>
          <t>Coussins génériques</t>
        </is>
      </c>
      <c r="B5" t="n">
        <v>101</v>
      </c>
      <c r="C5" t="n">
        <v>10100</v>
      </c>
      <c r="D5" t="inlineStr"/>
    </row>
    <row r="6">
      <c r="A6" t="inlineStr">
        <is>
          <t>Séparateurs</t>
        </is>
      </c>
      <c r="B6" t="n">
        <v>48</v>
      </c>
      <c r="C6" t="n">
        <v>84000</v>
      </c>
      <c r="D6" t="inlineStr">
        <is>
          <t>🔴 CRITIQUE</t>
        </is>
      </c>
    </row>
    <row r="7">
      <c r="A7" t="inlineStr">
        <is>
          <t>Suspensions franges</t>
        </is>
      </c>
      <c r="B7" t="n">
        <v>55</v>
      </c>
      <c r="C7" t="n">
        <v>3850</v>
      </c>
      <c r="D7" t="inlineStr"/>
    </row>
    <row r="8">
      <c r="A8" t="inlineStr">
        <is>
          <t>Suspensions raphia</t>
        </is>
      </c>
      <c r="B8" t="n">
        <v>22</v>
      </c>
      <c r="C8" t="n">
        <v>1980</v>
      </c>
      <c r="D8" t="inlineStr"/>
    </row>
    <row r="9">
      <c r="A9" t="inlineStr">
        <is>
          <t>Miroirs</t>
        </is>
      </c>
      <c r="B9" t="n">
        <v>11</v>
      </c>
      <c r="C9" t="n">
        <v>2750</v>
      </c>
      <c r="D9" t="inlineStr"/>
    </row>
    <row r="10">
      <c r="A10" t="inlineStr">
        <is>
          <t>Mobilier</t>
        </is>
      </c>
      <c r="B10" t="n">
        <v>1</v>
      </c>
      <c r="C10" t="n">
        <v>140</v>
      </c>
      <c r="D10" t="inlineStr"/>
    </row>
    <row r="11">
      <c r="A11" t="inlineStr">
        <is>
          <t>Autres</t>
        </is>
      </c>
      <c r="B11" t="n">
        <v>36</v>
      </c>
      <c r="C11" t="n">
        <v>17250</v>
      </c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TOTAL SURVENTES</t>
        </is>
      </c>
      <c r="B13" t="n">
        <v>477</v>
      </c>
      <c r="C13" t="n">
        <v>122100</v>
      </c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BUDGET RÉGULARISATION NÉCESSAIRE</t>
        </is>
      </c>
      <c r="B15" t="inlineStr"/>
      <c r="C15" t="inlineStr">
        <is>
          <t>~98 150 €</t>
        </is>
      </c>
      <c r="D15" t="inlineStr"/>
    </row>
    <row r="16">
      <c r="A16" t="inlineStr"/>
      <c r="B16" t="inlineStr"/>
      <c r="C16" t="inlineStr"/>
      <c r="D16" t="inlineStr"/>
    </row>
    <row r="17">
      <c r="A17" s="10" t="inlineStr">
        <is>
          <t>TOP 5 PRODUITS CRITIQUES</t>
        </is>
      </c>
    </row>
    <row r="18">
      <c r="A18" t="inlineStr">
        <is>
          <t>1. PRD-0130 - Séparateurs (-48)</t>
        </is>
      </c>
      <c r="B18" t="inlineStr">
        <is>
          <t>84 000 €</t>
        </is>
      </c>
      <c r="C18" t="inlineStr">
        <is>
          <t>URGENT</t>
        </is>
      </c>
      <c r="D18" t="inlineStr"/>
    </row>
    <row r="19">
      <c r="A19" t="inlineStr">
        <is>
          <t>2. PRD-0081 - Plateaux 20x30 (-203)</t>
        </is>
      </c>
      <c r="B19" t="inlineStr">
        <is>
          <t>2 030 €</t>
        </is>
      </c>
      <c r="C19" t="inlineStr">
        <is>
          <t>URGENT</t>
        </is>
      </c>
      <c r="D19" t="inlineStr"/>
    </row>
    <row r="20">
      <c r="A20" t="inlineStr">
        <is>
          <t>3. PRD-0285/286/287 - Coussins (-101)</t>
        </is>
      </c>
      <c r="B20" t="inlineStr">
        <is>
          <t>10 100 €</t>
        </is>
      </c>
      <c r="C20" t="inlineStr">
        <is>
          <t>URGENT</t>
        </is>
      </c>
      <c r="D20" t="inlineStr"/>
    </row>
    <row r="21">
      <c r="A21" t="inlineStr">
        <is>
          <t>4. SUS-0016 - Franges n°1 (-52)</t>
        </is>
      </c>
      <c r="B21" t="inlineStr">
        <is>
          <t>3 640 €</t>
        </is>
      </c>
      <c r="C21" t="inlineStr">
        <is>
          <t>URGENT</t>
        </is>
      </c>
      <c r="D21" t="inlineStr"/>
    </row>
    <row r="22">
      <c r="A22" t="inlineStr">
        <is>
          <t>5. PRD-0105 - Ciel de bar (-25)</t>
        </is>
      </c>
      <c r="B22" t="inlineStr">
        <is>
          <t>7 768 €</t>
        </is>
      </c>
      <c r="C22" t="inlineStr">
        <is>
          <t>Important</t>
        </is>
      </c>
      <c r="D22" t="inlineStr"/>
    </row>
  </sheetData>
  <mergeCells count="3">
    <mergeCell ref="A1:D1"/>
    <mergeCell ref="A17:D1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2026-01-28T14:09:42Z</dcterms:created>
  <dcterms:modified xmlns:dcterms="http://purl.org/dc/terms/" xmlns:xsi="http://www.w3.org/2001/XMLSchema-instance" xsi:type="dcterms:W3CDTF">2026-01-28T14:09:42Z</dcterms:modified>
</cp:coreProperties>
</file>